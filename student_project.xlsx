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 Laptops\Desktop\alfy_restart\Data Analysis\Students Mark Analysis\"/>
    </mc:Choice>
  </mc:AlternateContent>
  <bookViews>
    <workbookView xWindow="0" yWindow="0" windowWidth="20490" windowHeight="9045"/>
  </bookViews>
  <sheets>
    <sheet name="Student Marks" sheetId="1" r:id="rId1"/>
    <sheet name="Dashboard" sheetId="2" r:id="rId2"/>
    <sheet name="Pivot table" sheetId="6" r:id="rId3"/>
  </sheets>
  <definedNames>
    <definedName name="Slicer_Name">#N/A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O15" i="1" l="1"/>
  <c r="O14" i="1"/>
  <c r="O13" i="1"/>
  <c r="O12" i="1"/>
  <c r="O11" i="1"/>
  <c r="O10" i="1"/>
  <c r="H2" i="1"/>
  <c r="I50" i="1" l="1"/>
  <c r="J50" i="1" s="1"/>
  <c r="K50" i="1" s="1"/>
  <c r="I51" i="1"/>
  <c r="J51" i="1" s="1"/>
  <c r="K51" i="1" s="1"/>
  <c r="I44" i="1"/>
  <c r="J44" i="1" s="1"/>
  <c r="K44" i="1" s="1"/>
  <c r="I45" i="1"/>
  <c r="J45" i="1" s="1"/>
  <c r="K45" i="1" s="1"/>
  <c r="I46" i="1"/>
  <c r="J46" i="1" s="1"/>
  <c r="K46" i="1" s="1"/>
  <c r="I47" i="1"/>
  <c r="J47" i="1" s="1"/>
  <c r="K47" i="1" s="1"/>
  <c r="I48" i="1"/>
  <c r="J48" i="1" s="1"/>
  <c r="K48" i="1" s="1"/>
  <c r="I49" i="1"/>
  <c r="J49" i="1" s="1"/>
  <c r="K49" i="1" s="1"/>
  <c r="I32" i="1"/>
  <c r="J32" i="1" s="1"/>
  <c r="K32" i="1" s="1"/>
  <c r="I33" i="1"/>
  <c r="J33" i="1" s="1"/>
  <c r="K33" i="1" s="1"/>
  <c r="I34" i="1"/>
  <c r="J34" i="1" s="1"/>
  <c r="K34" i="1" s="1"/>
  <c r="I35" i="1"/>
  <c r="J35" i="1" s="1"/>
  <c r="K35" i="1" s="1"/>
  <c r="I36" i="1"/>
  <c r="J36" i="1" s="1"/>
  <c r="K36" i="1" s="1"/>
  <c r="I37" i="1"/>
  <c r="J37" i="1" s="1"/>
  <c r="K37" i="1" s="1"/>
  <c r="I38" i="1"/>
  <c r="J38" i="1" s="1"/>
  <c r="K38" i="1" s="1"/>
  <c r="I39" i="1"/>
  <c r="J39" i="1" s="1"/>
  <c r="K39" i="1" s="1"/>
  <c r="I40" i="1"/>
  <c r="J40" i="1" s="1"/>
  <c r="K40" i="1" s="1"/>
  <c r="I41" i="1"/>
  <c r="J41" i="1" s="1"/>
  <c r="K41" i="1" s="1"/>
  <c r="I42" i="1"/>
  <c r="J42" i="1" s="1"/>
  <c r="K42" i="1" s="1"/>
  <c r="I43" i="1"/>
  <c r="J43" i="1" s="1"/>
  <c r="K43" i="1" s="1"/>
  <c r="I21" i="1"/>
  <c r="J21" i="1" s="1"/>
  <c r="K21" i="1" s="1"/>
  <c r="I22" i="1"/>
  <c r="J22" i="1" s="1"/>
  <c r="K22" i="1" s="1"/>
  <c r="I23" i="1"/>
  <c r="J23" i="1" s="1"/>
  <c r="K23" i="1" s="1"/>
  <c r="I24" i="1"/>
  <c r="J24" i="1" s="1"/>
  <c r="K24" i="1" s="1"/>
  <c r="I25" i="1"/>
  <c r="J25" i="1" s="1"/>
  <c r="K25" i="1" s="1"/>
  <c r="I26" i="1"/>
  <c r="J26" i="1" s="1"/>
  <c r="K26" i="1" s="1"/>
  <c r="I27" i="1"/>
  <c r="J27" i="1" s="1"/>
  <c r="K27" i="1" s="1"/>
  <c r="I28" i="1"/>
  <c r="J28" i="1" s="1"/>
  <c r="K28" i="1" s="1"/>
  <c r="I29" i="1"/>
  <c r="J29" i="1" s="1"/>
  <c r="K29" i="1" s="1"/>
  <c r="I30" i="1"/>
  <c r="J30" i="1" s="1"/>
  <c r="K30" i="1" s="1"/>
  <c r="I31" i="1"/>
  <c r="J31" i="1" s="1"/>
  <c r="K31" i="1" s="1"/>
  <c r="I12" i="1"/>
  <c r="J12" i="1" s="1"/>
  <c r="K12" i="1" s="1"/>
  <c r="I13" i="1"/>
  <c r="J13" i="1" s="1"/>
  <c r="K13" i="1" s="1"/>
  <c r="I14" i="1"/>
  <c r="J14" i="1" s="1"/>
  <c r="K14" i="1" s="1"/>
  <c r="I15" i="1"/>
  <c r="J15" i="1" s="1"/>
  <c r="K15" i="1" s="1"/>
  <c r="I16" i="1"/>
  <c r="J16" i="1" s="1"/>
  <c r="K16" i="1" s="1"/>
  <c r="I17" i="1"/>
  <c r="J17" i="1" s="1"/>
  <c r="K17" i="1" s="1"/>
  <c r="I18" i="1"/>
  <c r="J18" i="1" s="1"/>
  <c r="K18" i="1" s="1"/>
  <c r="I19" i="1"/>
  <c r="J19" i="1" s="1"/>
  <c r="K19" i="1" s="1"/>
  <c r="I20" i="1"/>
  <c r="J20" i="1" s="1"/>
  <c r="K20" i="1" s="1"/>
  <c r="I10" i="1"/>
  <c r="J10" i="1" s="1"/>
  <c r="K10" i="1" s="1"/>
  <c r="I11" i="1"/>
  <c r="J11" i="1" s="1"/>
  <c r="K11" i="1" s="1"/>
  <c r="I3" i="1"/>
  <c r="J3" i="1" s="1"/>
  <c r="K3" i="1" s="1"/>
  <c r="I4" i="1"/>
  <c r="J4" i="1" s="1"/>
  <c r="K4" i="1" s="1"/>
  <c r="I5" i="1"/>
  <c r="J5" i="1" s="1"/>
  <c r="K5" i="1" s="1"/>
  <c r="I6" i="1"/>
  <c r="J6" i="1" s="1"/>
  <c r="K6" i="1" s="1"/>
  <c r="I7" i="1"/>
  <c r="J7" i="1" s="1"/>
  <c r="K7" i="1" s="1"/>
  <c r="I8" i="1"/>
  <c r="I9" i="1"/>
  <c r="J9" i="1" s="1"/>
  <c r="K9" i="1" s="1"/>
  <c r="H51" i="1"/>
  <c r="H45" i="1"/>
  <c r="H46" i="1"/>
  <c r="H47" i="1"/>
  <c r="H48" i="1"/>
  <c r="H49" i="1"/>
  <c r="H50" i="1"/>
  <c r="H35" i="1"/>
  <c r="H36" i="1"/>
  <c r="H37" i="1"/>
  <c r="H38" i="1"/>
  <c r="H39" i="1"/>
  <c r="H40" i="1"/>
  <c r="H41" i="1"/>
  <c r="H42" i="1"/>
  <c r="H43" i="1"/>
  <c r="H44" i="1"/>
  <c r="I2" i="1"/>
  <c r="H30" i="1"/>
  <c r="H31" i="1"/>
  <c r="H32" i="1"/>
  <c r="H33" i="1"/>
  <c r="H34" i="1"/>
  <c r="H24" i="1"/>
  <c r="H25" i="1"/>
  <c r="H26" i="1"/>
  <c r="H27" i="1"/>
  <c r="H28" i="1"/>
  <c r="H29" i="1"/>
  <c r="H19" i="1"/>
  <c r="H20" i="1"/>
  <c r="H21" i="1"/>
  <c r="H22" i="1"/>
  <c r="H23" i="1"/>
  <c r="H11" i="1"/>
  <c r="H12" i="1"/>
  <c r="H13" i="1"/>
  <c r="H14" i="1"/>
  <c r="H15" i="1"/>
  <c r="H16" i="1"/>
  <c r="H17" i="1"/>
  <c r="H18" i="1"/>
  <c r="H3" i="1"/>
  <c r="H4" i="1"/>
  <c r="H5" i="1"/>
  <c r="H6" i="1"/>
  <c r="H7" i="1"/>
  <c r="H8" i="1"/>
  <c r="H9" i="1"/>
  <c r="H10" i="1"/>
  <c r="G3" i="2" l="1"/>
  <c r="A3" i="2"/>
  <c r="D3" i="2"/>
  <c r="J2" i="1"/>
  <c r="K2" i="1" s="1"/>
  <c r="J8" i="1"/>
  <c r="K8" i="1" s="1"/>
</calcChain>
</file>

<file path=xl/sharedStrings.xml><?xml version="1.0" encoding="utf-8"?>
<sst xmlns="http://schemas.openxmlformats.org/spreadsheetml/2006/main" count="99" uniqueCount="85">
  <si>
    <t>Student ID</t>
  </si>
  <si>
    <t>Name</t>
  </si>
  <si>
    <t>English</t>
  </si>
  <si>
    <t>Maths</t>
  </si>
  <si>
    <t>Science</t>
  </si>
  <si>
    <t>Social</t>
  </si>
  <si>
    <t>Computer</t>
  </si>
  <si>
    <t>Total</t>
  </si>
  <si>
    <t>Average</t>
  </si>
  <si>
    <t>Grade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</si>
  <si>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</si>
  <si>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</si>
  <si>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</si>
  <si>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</si>
  <si>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</si>
  <si>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</si>
  <si>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</si>
  <si>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</si>
  <si>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</si>
  <si>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</si>
  <si>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</si>
  <si>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</si>
  <si>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</si>
  <si>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</si>
  <si>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</si>
  <si>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</si>
  <si>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</si>
  <si>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</si>
  <si>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</si>
  <si>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</si>
  <si>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Student 21</t>
  </si>
  <si>
    <t>Student 22</t>
  </si>
  <si>
    <t>Student 23</t>
  </si>
  <si>
    <t>Student 24</t>
  </si>
  <si>
    <t>Student 25</t>
  </si>
  <si>
    <t>Student 26</t>
  </si>
  <si>
    <t>Student 27</t>
  </si>
  <si>
    <t>Student 28</t>
  </si>
  <si>
    <t>Student 29</t>
  </si>
  <si>
    <t>Student 30</t>
  </si>
  <si>
    <t>Student 31</t>
  </si>
  <si>
    <t>Student 32</t>
  </si>
  <si>
    <t>Student 33</t>
  </si>
  <si>
    <t>Student 34</t>
  </si>
  <si>
    <t>Student 35</t>
  </si>
  <si>
    <t>Student 36</t>
  </si>
  <si>
    <t>Student 37</t>
  </si>
  <si>
    <t>Student 38</t>
  </si>
  <si>
    <t>Student 39</t>
  </si>
  <si>
    <t>Student 40</t>
  </si>
  <si>
    <t>Student 41</t>
  </si>
  <si>
    <t>Student 42</t>
  </si>
  <si>
    <t>Student 43</t>
  </si>
  <si>
    <t>Student 44</t>
  </si>
  <si>
    <t>Student 45</t>
  </si>
  <si>
    <t>Student 46</t>
  </si>
  <si>
    <t>Student 47</t>
  </si>
  <si>
    <t>Student 48</t>
  </si>
  <si>
    <t>Student 49</t>
  </si>
  <si>
    <t>Student 50</t>
  </si>
  <si>
    <t>Status</t>
  </si>
  <si>
    <t>Highest Average</t>
  </si>
  <si>
    <t>Lowest Average</t>
  </si>
  <si>
    <t>Topper</t>
  </si>
  <si>
    <t>Row Labels</t>
  </si>
  <si>
    <t>Grand Total</t>
  </si>
  <si>
    <t>Sum of Total</t>
  </si>
  <si>
    <t>Summary</t>
  </si>
  <si>
    <t>Count</t>
  </si>
  <si>
    <t>A+</t>
  </si>
  <si>
    <t>B</t>
  </si>
  <si>
    <t>C</t>
  </si>
  <si>
    <t>D</t>
  </si>
  <si>
    <t>A</t>
  </si>
  <si>
    <t>F</t>
  </si>
  <si>
    <t>Sum of English</t>
  </si>
  <si>
    <t>Sum of Maths</t>
  </si>
  <si>
    <t>Sum of Science</t>
  </si>
  <si>
    <t>Sum of Social</t>
  </si>
  <si>
    <t>Sum of Computer</t>
  </si>
  <si>
    <t>Pass</t>
  </si>
  <si>
    <t>Teachers Insights</t>
  </si>
  <si>
    <t>1. Majority of students belong to Grade B Category.</t>
  </si>
  <si>
    <t>2. Very few weak performers.</t>
  </si>
  <si>
    <t>3. Overall academic stability is good.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</si>
</sst>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name val="Calibri"/>
    </font>
    <font>
      <b/>
      <sz val="11"/>
      <color theme="1"/>
      <name val="Calibri"/>
      <family val="2"/>
      <scheme val="minor"/>
    </font>
    <font>
      <b/>
      <sz val="11"/>
      <name val="Calibri"/>
      <family val="2"/>
    </font>
    <font>
      <b/>
      <u/>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8"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0" fillId="0" borderId="0" xfId="0" applyAlignment="1">
      <alignment horizontal="left" indent="1"/>
    </xf>
    <xf numFmtId="0" fontId="2" fillId="0" borderId="0" xfId="0" applyFont="1"/>
    <xf numFmtId="0" fontId="0" fillId="4" borderId="0" xfId="0" applyFill="1"/>
    <xf numFmtId="0" fontId="4" fillId="3" borderId="0" xfId="0" applyFont="1" applyFill="1" applyAlignment="1">
      <alignment horizontal="center"/>
    </xf>
    <xf numFmtId="0" fontId="0" fillId="4" borderId="0" xfId="0" applyFill="1" applyAlignment="1">
      <alignment horizontal="left"/>
    </xf>
    <xf numFmtId="0" fontId="2" fillId="4" borderId="0" xfId="0" applyFont="1" applyFill="1" applyAlignment="1">
      <alignment horizontal="center"/>
    </xf>
    <xf numFmtId="0" fontId="0" fillId="2" borderId="0" xfId="0" applyFill="1" applyAlignment="1">
      <alignment horizontal="center"/>
    </xf>
  </cellXfs>
  <cellStyles count="1">
    <cellStyle name="Normal" xfId="0" builtinId="0"/>
  </cellStyles>
  <dxfs count="2">
    <dxf>
      <font>
        <color rgb="FF009900"/>
      </font>
    </dxf>
    <dxf>
      <font>
        <color rgb="FF9C0006"/>
      </font>
    </dxf>
  </dxfs>
  <tableStyles count="0" defaultTableStyle="TableStyleMedium9" defaultPivotStyle="PivotStyleLight16"/>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[student_project.xlsx]Dashboard!PivotTable4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First 10 Toppers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Dashboard!$B$9</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Dashboard!$A$10:$A$20</c:f>
              <c:strCache>
                <c:ptCount val="10"/>
                <c:pt idx="0">
                  <c:v>Student 7</c:v>
                </c:pt>
                <c:pt idx="1">
                  <c:v>Student 15</c:v>
                </c:pt>
                <c:pt idx="2">
                  <c:v>Student 30</c:v>
                </c:pt>
                <c:pt idx="3">
                  <c:v>Student 42</c:v>
                </c:pt>
                <c:pt idx="4">
                  <c:v>Student 21</c:v>
                </c:pt>
                <c:pt idx="5">
                  <c:v>Student 44</c:v>
                </c:pt>
                <c:pt idx="6">
                  <c:v>Student 48</c:v>
                </c:pt>
                <c:pt idx="7">
                  <c:v>Student 17</c:v>
                </c:pt>
                <c:pt idx="8">
                  <c:v>Student 49</c:v>
                </c:pt>
                <c:pt idx="9">
                  <c:v>Student 33</c:v>
                </c:pt>
              </c:strCache>
            </c:strRef>
          </c:cat>
          <c:val>
            <c:numRef>
              <c:f>Dashboard!$B$10:$B$20</c:f>
              <c:numCache>
                <c:formatCode>General</c:formatCode>
                <c:ptCount val="10"/>
                <c:pt idx="0">
                  <c:v>462</c:v>
                </c:pt>
                <c:pt idx="1">
                  <c:v>439</c:v>
                </c:pt>
                <c:pt idx="2">
                  <c:v>435</c:v>
                </c:pt>
                <c:pt idx="3">
                  <c:v>434</c:v>
                </c:pt>
                <c:pt idx="4">
                  <c:v>431</c:v>
                </c:pt>
                <c:pt idx="5">
                  <c:v>427</c:v>
                </c:pt>
                <c:pt idx="6">
                  <c:v>427</c:v>
                </c:pt>
                <c:pt idx="7">
                  <c:v>426</c:v>
                </c:pt>
                <c:pt idx="8">
                  <c:v>425</c:v>
                </c:pt>
                <c:pt idx="9">
                  <c:v>424</c:v>
                </c:pt>
              </c:numCache>
            </c:numRef>
          </c:val>
        </c:ser>
        <c:dLbls>
          <c:dLblPos val="outEnd"/>
          <c:showLegendKey val="0"/>
          <c:showVal val="1"/>
          <c:showCatName val="0"/>
          <c:showSerName val="0"/>
          <c:showPercent val="0"/>
          <c:showBubbleSize val="0"/>
        </c:dLbls>
        <c:gapWidth val="444"/>
        <c:overlap val="-90"/>
        <c:axId val="246825928"/>
        <c:axId val="246826320"/>
      </c:barChart>
      <c:catAx>
        <c:axId val="246825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46826320"/>
        <c:crosses val="autoZero"/>
        <c:auto val="1"/>
        <c:lblAlgn val="ctr"/>
        <c:lblOffset val="100"/>
        <c:noMultiLvlLbl val="0"/>
      </c:catAx>
      <c:valAx>
        <c:axId val="246826320"/>
        <c:scaling>
          <c:orientation val="minMax"/>
        </c:scaling>
        <c:delete val="1"/>
        <c:axPos val="l"/>
        <c:numFmt formatCode="General" sourceLinked="1"/>
        <c:majorTickMark val="none"/>
        <c:minorTickMark val="none"/>
        <c:tickLblPos val="nextTo"/>
        <c:crossAx val="246825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 Distribution Chart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'Student Marks'!$O$8:$O$9</c:f>
              <c:strCache>
                <c:ptCount val="2"/>
                <c:pt idx="0">
                  <c:v>Summary</c:v>
                </c:pt>
                <c:pt idx="1">
                  <c:v>Count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'Student Marks'!$N$10:$N$15</c:f>
              <c:strCache>
                <c:ptCount val="6"/>
                <c:pt idx="0">
                  <c:v>A+</c:v>
                </c:pt>
                <c:pt idx="1">
                  <c:v>A</c:v>
                </c:pt>
                <c:pt idx="2">
                  <c:v>B</c:v>
                </c:pt>
                <c:pt idx="3">
                  <c:v>C</c:v>
                </c:pt>
                <c:pt idx="4">
                  <c:v>D</c:v>
                </c:pt>
                <c:pt idx="5">
                  <c:v>F</c:v>
                </c:pt>
              </c:strCache>
            </c:strRef>
          </c:cat>
          <c:val>
            <c:numRef>
              <c:f>'Student Marks'!$O$10:$O$15</c:f>
              <c:numCache>
                <c:formatCode>General</c:formatCode>
                <c:ptCount val="6"/>
                <c:pt idx="0">
                  <c:v>1</c:v>
                </c:pt>
                <c:pt idx="1">
                  <c:v>20</c:v>
                </c:pt>
                <c:pt idx="2">
                  <c:v>27</c:v>
                </c:pt>
                <c:pt idx="3">
                  <c:v>2</c:v>
                </c:pt>
                <c:pt idx="4">
                  <c:v>0</c:v>
                </c:pt>
                <c:pt idx="5">
                  <c:v>0</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633412</xdr:colOff>
      <xdr:row>7</xdr:row>
      <xdr:rowOff>185737</xdr:rowOff>
    </xdr:from>
    <xdr:to>
      <xdr:col>10</xdr:col>
      <xdr:colOff>142874</xdr:colOff>
      <xdr:row>19</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7</xdr:row>
      <xdr:rowOff>180975</xdr:rowOff>
    </xdr:from>
    <xdr:to>
      <xdr:col>18</xdr:col>
      <xdr:colOff>590551</xdr:colOff>
      <xdr:row>20</xdr:row>
      <xdr:rowOff>9525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447675</xdr:colOff>
      <xdr:row>4</xdr:row>
      <xdr:rowOff>9525</xdr:rowOff>
    </xdr:from>
    <xdr:to>
      <xdr:col>9</xdr:col>
      <xdr:colOff>257175</xdr:colOff>
      <xdr:row>17</xdr:row>
      <xdr:rowOff>57150</xdr:rowOff>
    </xdr:to>
    <mc:AlternateContent xmlns:mc="http://schemas.openxmlformats.org/markup-compatibility/2006" xmlns:a14="http://schemas.microsoft.com/office/drawing/2010/main">
      <mc:Choice Requires="a14">
        <xdr:graphicFrame macro="">
          <xdr:nvGraphicFramePr>
            <xdr:cNvPr id="2"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6057900" y="771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Laptops" refreshedDate="46151.687754629631" createdVersion="5" refreshedVersion="5" minRefreshableVersion="3" recordCount="50">
  <cacheSource type="worksheet">
    <worksheetSource ref="B1:K51" sheet="Student Marks"/>
  </cacheSource>
  <cacheFields count="10">
    <cacheField name="Name" numFmtId="0">
      <sharedItems count="50">
        <s v="Student 1"/>
        <s v="Student 2"/>
        <s v="Student 3"/>
        <s v="Student 4"/>
        <s v="Student 5"/>
        <s v="Student 6"/>
        <s v="Student 7"/>
        <s v="Student 8"/>
        <s v="Student 9"/>
        <s v="Student 10"/>
        <s v="Student 11"/>
        <s v="Student 12"/>
        <s v="Student 13"/>
        <s v="Student 14"/>
        <s v="Student 15"/>
        <s v="Student 16"/>
        <s v="Student 17"/>
        <s v="Student 18"/>
        <s v="Student 19"/>
        <s v="Student 20"/>
        <s v="Student 21"/>
        <s v="Student 22"/>
        <s v="Student 23"/>
        <s v="Student 24"/>
        <s v="Student 25"/>
        <s v="Student 26"/>
        <s v="Student 27"/>
        <s v="Student 28"/>
        <s v="Student 29"/>
        <s v="Student 30"/>
        <s v="Student 31"/>
        <s v="Student 32"/>
        <s v="Student 33"/>
        <s v="Student 34"/>
        <s v="Student 35"/>
        <s v="Student 36"/>
        <s v="Student 37"/>
        <s v="Student 38"/>
        <s v="Student 39"/>
        <s v="Student 40"/>
        <s v="Student 41"/>
        <s v="Student 42"/>
        <s v="Student 43"/>
        <s v="Student 44"/>
        <s v="Student 45"/>
        <s v="Student 46"/>
        <s v="Student 47"/>
        <s v="Student 48"/>
        <s v="Student 49"/>
        <s v="Student 50"/>
      </sharedItems>
    </cacheField>
    <cacheField name="English" numFmtId="0">
      <sharedItems containsSemiMixedTypes="0" containsString="0" containsNumber="1" containsInteger="1" minValue="60" maxValue="97" count="30">
        <n v="75"/>
        <n v="92"/>
        <n v="77"/>
        <n v="71"/>
        <n v="87"/>
        <n v="76"/>
        <n v="89"/>
        <n v="65"/>
        <n v="83"/>
        <n v="66"/>
        <n v="74"/>
        <n v="82"/>
        <n v="94"/>
        <n v="63"/>
        <n v="62"/>
        <n v="79"/>
        <n v="84"/>
        <n v="68"/>
        <n v="96"/>
        <n v="93"/>
        <n v="69"/>
        <n v="64"/>
        <n v="67"/>
        <n v="97"/>
        <n v="60"/>
        <n v="61"/>
        <n v="81"/>
        <n v="86"/>
        <n v="95"/>
        <n v="72"/>
      </sharedItems>
    </cacheField>
    <cacheField name="Maths" numFmtId="0">
      <sharedItems containsSemiMixedTypes="0" containsString="0" containsNumber="1" containsInteger="1" minValue="60" maxValue="99" count="29">
        <n v="86"/>
        <n v="74"/>
        <n v="63"/>
        <n v="85"/>
        <n v="71"/>
        <n v="98"/>
        <n v="99"/>
        <n v="67"/>
        <n v="60"/>
        <n v="79"/>
        <n v="64"/>
        <n v="73"/>
        <n v="90"/>
        <n v="76"/>
        <n v="97"/>
        <n v="91"/>
        <n v="70"/>
        <n v="62"/>
        <n v="83"/>
        <n v="68"/>
        <n v="88"/>
        <n v="75"/>
        <n v="89"/>
        <n v="81"/>
        <n v="84"/>
        <n v="80"/>
        <n v="77"/>
        <n v="87"/>
        <n v="96"/>
      </sharedItems>
    </cacheField>
    <cacheField name="Science" numFmtId="0">
      <sharedItems containsSemiMixedTypes="0" containsString="0" containsNumber="1" containsInteger="1" minValue="60" maxValue="97" count="25">
        <n v="69"/>
        <n v="77"/>
        <n v="89"/>
        <n v="83"/>
        <n v="66"/>
        <n v="88"/>
        <n v="94"/>
        <n v="60"/>
        <n v="82"/>
        <n v="65"/>
        <n v="67"/>
        <n v="64"/>
        <n v="78"/>
        <n v="74"/>
        <n v="97"/>
        <n v="71"/>
        <n v="87"/>
        <n v="72"/>
        <n v="84"/>
        <n v="93"/>
        <n v="79"/>
        <n v="96"/>
        <n v="90"/>
        <n v="63"/>
        <n v="62"/>
      </sharedItems>
    </cacheField>
    <cacheField name="Social" numFmtId="0">
      <sharedItems containsSemiMixedTypes="0" containsString="0" containsNumber="1" containsInteger="1" minValue="56" maxValue="95" count="27">
        <n v="84"/>
        <n v="61"/>
        <n v="67"/>
        <n v="66"/>
        <n v="64"/>
        <n v="75"/>
        <n v="88"/>
        <n v="74"/>
        <n v="62"/>
        <n v="83"/>
        <n v="82"/>
        <n v="56"/>
        <n v="86"/>
        <n v="93"/>
        <n v="85"/>
        <n v="69"/>
        <n v="60"/>
        <n v="68"/>
        <n v="95"/>
        <n v="57"/>
        <n v="58"/>
        <n v="92"/>
        <n v="73"/>
        <n v="72"/>
        <n v="63"/>
        <n v="87"/>
        <n v="90"/>
      </sharedItems>
    </cacheField>
    <cacheField name="Computer" numFmtId="0">
      <sharedItems containsSemiMixedTypes="0" containsString="0" containsNumber="1" containsInteger="1" minValue="65" maxValue="100" count="24">
        <n v="96"/>
        <n v="73"/>
        <n v="92"/>
        <n v="78"/>
        <n v="76"/>
        <n v="94"/>
        <n v="68"/>
        <n v="100"/>
        <n v="82"/>
        <n v="87"/>
        <n v="69"/>
        <n v="84"/>
        <n v="95"/>
        <n v="90"/>
        <n v="86"/>
        <n v="81"/>
        <n v="93"/>
        <n v="83"/>
        <n v="99"/>
        <n v="74"/>
        <n v="75"/>
        <n v="72"/>
        <n v="79"/>
        <n v="65"/>
      </sharedItems>
    </cacheField>
    <cacheField name="Total" numFmtId="0">
      <sharedItems containsSemiMixedTypes="0" containsString="0" containsNumber="1" containsInteger="1" minValue="340" maxValue="462"/>
    </cacheField>
    <cacheField name="Average" numFmtId="0">
      <sharedItems containsSemiMixedTypes="0" containsString="0" containsNumber="1" minValue="68" maxValue="92.4"/>
    </cacheField>
    <cacheField name="Grade" numFmtId="0">
      <sharedItems count="4">
        <s v="A"/>
        <s v="B"/>
        <s v="A+"/>
        <s v="C"/>
      </sharedItems>
    </cacheField>
    <cacheField name="Status" numFmtId="0">
      <sharedItems count="1">
        <s v="Pas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x v="0"/>
    <x v="0"/>
    <x v="0"/>
    <x v="0"/>
    <x v="0"/>
    <n v="410"/>
    <n v="82"/>
    <x v="0"/>
    <x v="0"/>
  </r>
  <r>
    <x v="1"/>
    <x v="0"/>
    <x v="1"/>
    <x v="1"/>
    <x v="1"/>
    <x v="1"/>
    <n v="360"/>
    <n v="72"/>
    <x v="1"/>
    <x v="0"/>
  </r>
  <r>
    <x v="2"/>
    <x v="1"/>
    <x v="2"/>
    <x v="2"/>
    <x v="2"/>
    <x v="0"/>
    <n v="407"/>
    <n v="81.400000000000006"/>
    <x v="0"/>
    <x v="0"/>
  </r>
  <r>
    <x v="3"/>
    <x v="2"/>
    <x v="3"/>
    <x v="3"/>
    <x v="3"/>
    <x v="2"/>
    <n v="403"/>
    <n v="80.599999999999994"/>
    <x v="0"/>
    <x v="0"/>
  </r>
  <r>
    <x v="4"/>
    <x v="0"/>
    <x v="4"/>
    <x v="4"/>
    <x v="4"/>
    <x v="3"/>
    <n v="354"/>
    <n v="70.8"/>
    <x v="1"/>
    <x v="0"/>
  </r>
  <r>
    <x v="5"/>
    <x v="3"/>
    <x v="5"/>
    <x v="5"/>
    <x v="5"/>
    <x v="4"/>
    <n v="408"/>
    <n v="81.599999999999994"/>
    <x v="0"/>
    <x v="0"/>
  </r>
  <r>
    <x v="6"/>
    <x v="4"/>
    <x v="6"/>
    <x v="6"/>
    <x v="6"/>
    <x v="5"/>
    <n v="462"/>
    <n v="92.4"/>
    <x v="2"/>
    <x v="0"/>
  </r>
  <r>
    <x v="7"/>
    <x v="5"/>
    <x v="7"/>
    <x v="7"/>
    <x v="7"/>
    <x v="6"/>
    <n v="345"/>
    <n v="69"/>
    <x v="3"/>
    <x v="0"/>
  </r>
  <r>
    <x v="8"/>
    <x v="6"/>
    <x v="8"/>
    <x v="8"/>
    <x v="8"/>
    <x v="7"/>
    <n v="393"/>
    <n v="78.599999999999994"/>
    <x v="1"/>
    <x v="0"/>
  </r>
  <r>
    <x v="9"/>
    <x v="4"/>
    <x v="9"/>
    <x v="9"/>
    <x v="9"/>
    <x v="6"/>
    <n v="382"/>
    <n v="76.400000000000006"/>
    <x v="1"/>
    <x v="0"/>
  </r>
  <r>
    <x v="10"/>
    <x v="7"/>
    <x v="10"/>
    <x v="10"/>
    <x v="8"/>
    <x v="8"/>
    <n v="340"/>
    <n v="68"/>
    <x v="3"/>
    <x v="0"/>
  </r>
  <r>
    <x v="11"/>
    <x v="8"/>
    <x v="11"/>
    <x v="11"/>
    <x v="10"/>
    <x v="9"/>
    <n v="389"/>
    <n v="77.8"/>
    <x v="1"/>
    <x v="0"/>
  </r>
  <r>
    <x v="12"/>
    <x v="9"/>
    <x v="4"/>
    <x v="3"/>
    <x v="11"/>
    <x v="0"/>
    <n v="372"/>
    <n v="74.400000000000006"/>
    <x v="1"/>
    <x v="0"/>
  </r>
  <r>
    <x v="13"/>
    <x v="10"/>
    <x v="12"/>
    <x v="12"/>
    <x v="12"/>
    <x v="10"/>
    <n v="397"/>
    <n v="79.400000000000006"/>
    <x v="1"/>
    <x v="0"/>
  </r>
  <r>
    <x v="14"/>
    <x v="11"/>
    <x v="12"/>
    <x v="13"/>
    <x v="13"/>
    <x v="7"/>
    <n v="439"/>
    <n v="87.8"/>
    <x v="0"/>
    <x v="0"/>
  </r>
  <r>
    <x v="15"/>
    <x v="12"/>
    <x v="13"/>
    <x v="8"/>
    <x v="9"/>
    <x v="8"/>
    <n v="417"/>
    <n v="83.4"/>
    <x v="0"/>
    <x v="0"/>
  </r>
  <r>
    <x v="16"/>
    <x v="13"/>
    <x v="14"/>
    <x v="14"/>
    <x v="14"/>
    <x v="11"/>
    <n v="426"/>
    <n v="85.2"/>
    <x v="0"/>
    <x v="0"/>
  </r>
  <r>
    <x v="17"/>
    <x v="7"/>
    <x v="12"/>
    <x v="0"/>
    <x v="15"/>
    <x v="10"/>
    <n v="362"/>
    <n v="72.400000000000006"/>
    <x v="1"/>
    <x v="0"/>
  </r>
  <r>
    <x v="18"/>
    <x v="14"/>
    <x v="15"/>
    <x v="15"/>
    <x v="16"/>
    <x v="12"/>
    <n v="379"/>
    <n v="75.8"/>
    <x v="1"/>
    <x v="0"/>
  </r>
  <r>
    <x v="19"/>
    <x v="10"/>
    <x v="0"/>
    <x v="8"/>
    <x v="17"/>
    <x v="9"/>
    <n v="397"/>
    <n v="79.400000000000006"/>
    <x v="1"/>
    <x v="0"/>
  </r>
  <r>
    <x v="20"/>
    <x v="15"/>
    <x v="16"/>
    <x v="14"/>
    <x v="18"/>
    <x v="13"/>
    <n v="431"/>
    <n v="86.2"/>
    <x v="0"/>
    <x v="0"/>
  </r>
  <r>
    <x v="21"/>
    <x v="16"/>
    <x v="16"/>
    <x v="16"/>
    <x v="11"/>
    <x v="9"/>
    <n v="384"/>
    <n v="76.8"/>
    <x v="1"/>
    <x v="0"/>
  </r>
  <r>
    <x v="22"/>
    <x v="17"/>
    <x v="17"/>
    <x v="9"/>
    <x v="12"/>
    <x v="0"/>
    <n v="377"/>
    <n v="75.400000000000006"/>
    <x v="1"/>
    <x v="0"/>
  </r>
  <r>
    <x v="23"/>
    <x v="18"/>
    <x v="17"/>
    <x v="15"/>
    <x v="11"/>
    <x v="13"/>
    <n v="375"/>
    <n v="75"/>
    <x v="1"/>
    <x v="0"/>
  </r>
  <r>
    <x v="24"/>
    <x v="19"/>
    <x v="15"/>
    <x v="17"/>
    <x v="19"/>
    <x v="14"/>
    <n v="399"/>
    <n v="79.8"/>
    <x v="1"/>
    <x v="0"/>
  </r>
  <r>
    <x v="25"/>
    <x v="20"/>
    <x v="4"/>
    <x v="2"/>
    <x v="14"/>
    <x v="6"/>
    <n v="382"/>
    <n v="76.400000000000006"/>
    <x v="1"/>
    <x v="0"/>
  </r>
  <r>
    <x v="26"/>
    <x v="13"/>
    <x v="18"/>
    <x v="18"/>
    <x v="19"/>
    <x v="13"/>
    <n v="377"/>
    <n v="75.400000000000006"/>
    <x v="1"/>
    <x v="0"/>
  </r>
  <r>
    <x v="27"/>
    <x v="21"/>
    <x v="19"/>
    <x v="12"/>
    <x v="8"/>
    <x v="15"/>
    <n v="353"/>
    <n v="70.599999999999994"/>
    <x v="1"/>
    <x v="0"/>
  </r>
  <r>
    <x v="28"/>
    <x v="22"/>
    <x v="8"/>
    <x v="18"/>
    <x v="20"/>
    <x v="16"/>
    <n v="362"/>
    <n v="72.400000000000006"/>
    <x v="1"/>
    <x v="0"/>
  </r>
  <r>
    <x v="29"/>
    <x v="20"/>
    <x v="20"/>
    <x v="6"/>
    <x v="21"/>
    <x v="2"/>
    <n v="435"/>
    <n v="87"/>
    <x v="0"/>
    <x v="0"/>
  </r>
  <r>
    <x v="30"/>
    <x v="18"/>
    <x v="8"/>
    <x v="13"/>
    <x v="22"/>
    <x v="17"/>
    <n v="386"/>
    <n v="77.2"/>
    <x v="1"/>
    <x v="0"/>
  </r>
  <r>
    <x v="31"/>
    <x v="21"/>
    <x v="21"/>
    <x v="1"/>
    <x v="17"/>
    <x v="8"/>
    <n v="366"/>
    <n v="73.2"/>
    <x v="1"/>
    <x v="0"/>
  </r>
  <r>
    <x v="32"/>
    <x v="23"/>
    <x v="3"/>
    <x v="8"/>
    <x v="1"/>
    <x v="18"/>
    <n v="424"/>
    <n v="84.8"/>
    <x v="0"/>
    <x v="0"/>
  </r>
  <r>
    <x v="33"/>
    <x v="12"/>
    <x v="22"/>
    <x v="19"/>
    <x v="1"/>
    <x v="19"/>
    <n v="411"/>
    <n v="82.2"/>
    <x v="0"/>
    <x v="0"/>
  </r>
  <r>
    <x v="34"/>
    <x v="24"/>
    <x v="23"/>
    <x v="20"/>
    <x v="23"/>
    <x v="8"/>
    <n v="374"/>
    <n v="74.8"/>
    <x v="1"/>
    <x v="0"/>
  </r>
  <r>
    <x v="35"/>
    <x v="17"/>
    <x v="3"/>
    <x v="21"/>
    <x v="18"/>
    <x v="10"/>
    <n v="413"/>
    <n v="82.6"/>
    <x v="0"/>
    <x v="0"/>
  </r>
  <r>
    <x v="36"/>
    <x v="25"/>
    <x v="24"/>
    <x v="2"/>
    <x v="24"/>
    <x v="7"/>
    <n v="397"/>
    <n v="79.400000000000006"/>
    <x v="1"/>
    <x v="0"/>
  </r>
  <r>
    <x v="37"/>
    <x v="26"/>
    <x v="25"/>
    <x v="22"/>
    <x v="17"/>
    <x v="16"/>
    <n v="412"/>
    <n v="82.4"/>
    <x v="0"/>
    <x v="0"/>
  </r>
  <r>
    <x v="38"/>
    <x v="7"/>
    <x v="24"/>
    <x v="23"/>
    <x v="3"/>
    <x v="20"/>
    <n v="353"/>
    <n v="70.599999999999994"/>
    <x v="1"/>
    <x v="0"/>
  </r>
  <r>
    <x v="39"/>
    <x v="4"/>
    <x v="17"/>
    <x v="1"/>
    <x v="4"/>
    <x v="15"/>
    <n v="371"/>
    <n v="74.2"/>
    <x v="1"/>
    <x v="0"/>
  </r>
  <r>
    <x v="40"/>
    <x v="20"/>
    <x v="21"/>
    <x v="1"/>
    <x v="25"/>
    <x v="21"/>
    <n v="380"/>
    <n v="76"/>
    <x v="1"/>
    <x v="0"/>
  </r>
  <r>
    <x v="41"/>
    <x v="27"/>
    <x v="12"/>
    <x v="21"/>
    <x v="26"/>
    <x v="21"/>
    <n v="434"/>
    <n v="86.8"/>
    <x v="0"/>
    <x v="0"/>
  </r>
  <r>
    <x v="42"/>
    <x v="28"/>
    <x v="14"/>
    <x v="24"/>
    <x v="12"/>
    <x v="8"/>
    <n v="422"/>
    <n v="84.4"/>
    <x v="0"/>
    <x v="0"/>
  </r>
  <r>
    <x v="43"/>
    <x v="28"/>
    <x v="26"/>
    <x v="1"/>
    <x v="0"/>
    <x v="5"/>
    <n v="427"/>
    <n v="85.4"/>
    <x v="0"/>
    <x v="0"/>
  </r>
  <r>
    <x v="44"/>
    <x v="24"/>
    <x v="27"/>
    <x v="19"/>
    <x v="9"/>
    <x v="22"/>
    <n v="402"/>
    <n v="80.400000000000006"/>
    <x v="0"/>
    <x v="0"/>
  </r>
  <r>
    <x v="45"/>
    <x v="29"/>
    <x v="22"/>
    <x v="7"/>
    <x v="15"/>
    <x v="1"/>
    <n v="363"/>
    <n v="72.599999999999994"/>
    <x v="1"/>
    <x v="0"/>
  </r>
  <r>
    <x v="46"/>
    <x v="11"/>
    <x v="20"/>
    <x v="16"/>
    <x v="7"/>
    <x v="9"/>
    <n v="418"/>
    <n v="83.6"/>
    <x v="0"/>
    <x v="0"/>
  </r>
  <r>
    <x v="47"/>
    <x v="6"/>
    <x v="22"/>
    <x v="18"/>
    <x v="10"/>
    <x v="17"/>
    <n v="427"/>
    <n v="85.4"/>
    <x v="0"/>
    <x v="0"/>
  </r>
  <r>
    <x v="48"/>
    <x v="0"/>
    <x v="28"/>
    <x v="6"/>
    <x v="18"/>
    <x v="23"/>
    <n v="425"/>
    <n v="85"/>
    <x v="0"/>
    <x v="0"/>
  </r>
  <r>
    <x v="49"/>
    <x v="4"/>
    <x v="2"/>
    <x v="12"/>
    <x v="14"/>
    <x v="8"/>
    <n v="395"/>
    <n v="7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9:B20" firstHeaderRow="1" firstDataRow="1" firstDataCol="1"/>
  <pivotFields count="10">
    <pivotField axis="axisRow" showAll="0" measureFilter="1" sortType="descending">
      <items count="51">
        <item x="8"/>
        <item x="7"/>
        <item x="6"/>
        <item x="5"/>
        <item x="49"/>
        <item x="4"/>
        <item x="48"/>
        <item x="47"/>
        <item x="46"/>
        <item x="45"/>
        <item x="44"/>
        <item x="43"/>
        <item x="42"/>
        <item x="41"/>
        <item x="40"/>
        <item x="39"/>
        <item x="3"/>
        <item x="38"/>
        <item x="37"/>
        <item x="36"/>
        <item x="35"/>
        <item x="34"/>
        <item x="33"/>
        <item x="32"/>
        <item x="31"/>
        <item x="30"/>
        <item x="29"/>
        <item x="2"/>
        <item x="28"/>
        <item x="27"/>
        <item x="26"/>
        <item x="25"/>
        <item x="24"/>
        <item x="23"/>
        <item x="22"/>
        <item x="21"/>
        <item x="20"/>
        <item x="19"/>
        <item x="1"/>
        <item x="18"/>
        <item x="17"/>
        <item x="16"/>
        <item x="15"/>
        <item x="14"/>
        <item x="13"/>
        <item x="12"/>
        <item x="11"/>
        <item x="10"/>
        <item x="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s>
  <rowFields count="1">
    <field x="0"/>
  </rowFields>
  <rowItems count="11">
    <i>
      <x v="2"/>
    </i>
    <i>
      <x v="43"/>
    </i>
    <i>
      <x v="26"/>
    </i>
    <i>
      <x v="13"/>
    </i>
    <i>
      <x v="36"/>
    </i>
    <i>
      <x v="11"/>
    </i>
    <i>
      <x v="7"/>
    </i>
    <i>
      <x v="41"/>
    </i>
    <i>
      <x v="6"/>
    </i>
    <i>
      <x v="23"/>
    </i>
    <i t="grand">
      <x/>
    </i>
  </rowItems>
  <colItems count="1">
    <i/>
  </colItems>
  <dataFields count="1">
    <dataField name="Sum of Total"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F5" firstHeaderRow="0" firstDataRow="1" firstDataCol="1"/>
  <pivotFields count="10">
    <pivotField axis="axisRow" showAll="0">
      <items count="51">
        <item h="1" x="0"/>
        <item h="1" x="9"/>
        <item h="1" x="10"/>
        <item h="1" x="11"/>
        <item h="1" x="12"/>
        <item h="1" x="13"/>
        <item h="1" x="14"/>
        <item h="1" x="15"/>
        <item h="1" x="16"/>
        <item h="1" x="17"/>
        <item h="1" x="1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x="41"/>
        <item h="1" x="42"/>
        <item h="1" x="43"/>
        <item h="1" x="44"/>
        <item h="1" x="45"/>
        <item h="1" x="46"/>
        <item h="1" x="47"/>
        <item h="1" x="48"/>
        <item h="1" x="4"/>
        <item h="1" x="49"/>
        <item h="1" x="5"/>
        <item h="1" x="6"/>
        <item h="1" x="7"/>
        <item h="1" x="8"/>
        <item t="default"/>
      </items>
    </pivotField>
    <pivotField dataField="1" showAll="0"/>
    <pivotField dataField="1" showAll="0"/>
    <pivotField dataField="1" showAll="0"/>
    <pivotField dataField="1" showAll="0"/>
    <pivotField dataField="1" showAll="0"/>
    <pivotField showAll="0"/>
    <pivotField showAll="0"/>
    <pivotField showAll="0"/>
    <pivotField axis="axisRow" showAll="0">
      <items count="2">
        <item x="0"/>
        <item t="default"/>
      </items>
    </pivotField>
  </pivotFields>
  <rowFields count="2">
    <field x="0"/>
    <field x="9"/>
  </rowFields>
  <rowItems count="3">
    <i>
      <x v="36"/>
    </i>
    <i r="1">
      <x/>
    </i>
    <i t="grand">
      <x/>
    </i>
  </rowItems>
  <colFields count="1">
    <field x="-2"/>
  </colFields>
  <colItems count="5">
    <i>
      <x/>
    </i>
    <i i="1">
      <x v="1"/>
    </i>
    <i i="2">
      <x v="2"/>
    </i>
    <i i="3">
      <x v="3"/>
    </i>
    <i i="4">
      <x v="4"/>
    </i>
  </colItems>
  <dataFields count="5">
    <dataField name="Sum of English" fld="1" baseField="0" baseItem="0"/>
    <dataField name="Sum of Maths" fld="2" baseField="0" baseItem="0"/>
    <dataField name="Sum of Science" fld="3" baseField="0" baseItem="0"/>
    <dataField name="Sum of Social" fld="4" baseField="0" baseItem="0"/>
    <dataField name="Sum of Compute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6" name="PivotTable6"/>
  </pivotTables>
  <data>
    <tabular pivotCacheId="1">
      <items count="50">
        <i x="0"/>
        <i x="9"/>
        <i x="10"/>
        <i x="11"/>
        <i x="12"/>
        <i x="13"/>
        <i x="14"/>
        <i x="15"/>
        <i x="16"/>
        <i x="17"/>
        <i x="18"/>
        <i x="1"/>
        <i x="19"/>
        <i x="20"/>
        <i x="21"/>
        <i x="22"/>
        <i x="23"/>
        <i x="24"/>
        <i x="25"/>
        <i x="26"/>
        <i x="27"/>
        <i x="28"/>
        <i x="2"/>
        <i x="29"/>
        <i x="30"/>
        <i x="31"/>
        <i x="32"/>
        <i x="33"/>
        <i x="34"/>
        <i x="35"/>
        <i x="36"/>
        <i x="37"/>
        <i x="38"/>
        <i x="3"/>
        <i x="39"/>
        <i x="40"/>
        <i x="41" s="1"/>
        <i x="42"/>
        <i x="43"/>
        <i x="44"/>
        <i x="45"/>
        <i x="46"/>
        <i x="47"/>
        <i x="48"/>
        <i x="4"/>
        <i x="49"/>
        <i x="5"/>
        <i x="6"/>
        <i x="7"/>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startItem="3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tabSelected="1" topLeftCell="B1" workbookViewId="0">
      <selection activeCell="E5" sqref="E5:E9"/>
    </sheetView>
  </sheetViews>
  <sheetFormatPr defaultRowHeight="15" x14ac:dyDescent="0.25"/>
  <cols>
    <col min="1" max="1" width="10" customWidth="1"/>
    <col min="2" max="2" width="10.7109375" customWidth="1"/>
    <col min="7" max="7" width="9.7109375" customWidth="1"/>
  </cols>
  <sheetData>
    <row r="1" spans="1:15" x14ac:dyDescent="0.25">
      <c r="A1" s="1" t="s">
        <v>0</v>
      </c>
      <c r="B1" s="1" t="s">
        <v>1</v>
      </c>
      <c r="C1" s="1" t="s">
        <v>2</v>
      </c>
      <c r="D1" s="1" t="s">
        <v>3</v>
      </c>
      <c r="E1" s="1" t="s">
        <v>4</v>
      </c>
      <c r="F1" s="1" t="s">
        <v>5</v>
      </c>
      <c r="G1" s="1" t="s">
        <v>6</v>
      </c>
      <c r="H1" s="1" t="s">
        <v>7</v>
      </c>
      <c r="I1" s="1" t="s">
        <v>8</v>
      </c>
      <c r="J1" s="1" t="s">
        <v>9</v>
      </c>
      <c r="K1" s="2" t="s">
        <v>60</v>
      </c>
    </row>
    <row r="2" spans="1:15" x14ac:dyDescent="0.25">
      <c r="A2">
        <v>1001</v>
      </c>
      <c r="B2" t="s">
        <v>10</v>
      </c>
      <c r="C2">
        <v>75</v>
      </c>
      <c r="D2">
        <v>86</v>
      </c>
      <c r="E2">
        <v>69</v>
      </c>
      <c r="F2">
        <v>84</v>
      </c>
      <c r="G2">
        <v>96</v>
      </c>
      <c r="H2">
        <f t="shared" ref="H2:H33" si="0">SUM(C2:G2)</f>
        <v>410</v>
      </c>
      <c r="I2">
        <f t="shared" ref="I2:I33" si="1">AVERAGE(C2:G2)</f>
        <v>82</v>
      </c>
      <c r="J2" t="str">
        <f t="shared" ref="J2:J33" si="2">IF(I2&gt;=90,"A+",IF(I2&gt;=80,"A",IF(I2&gt;=70,"B",IF(I2&gt;=60,"C",IF(I2&gt;=50,"D","F")))))</f>
        <v>A</v>
      </c>
      <c r="K2" t="str">
        <f t="shared" ref="K2:K33" si="3">IF(OR(J2="A+",J2="A",J2="B",J2="C",J2="D"),"Pass","Fail")</f>
        <v>Pass</v>
      </c>
    </row>
    <row r="3" spans="1:15" x14ac:dyDescent="0.25">
      <c r="A3">
        <v>1002</v>
      </c>
      <c r="B3" t="s">
        <v>11</v>
      </c>
      <c r="C3">
        <v>75</v>
      </c>
      <c r="D3">
        <v>74</v>
      </c>
      <c r="E3">
        <v>77</v>
      </c>
      <c r="F3">
        <v>61</v>
      </c>
      <c r="G3">
        <v>73</v>
      </c>
      <c r="H3">
        <f t="shared" si="0"/>
        <v>360</v>
      </c>
      <c r="I3">
        <f t="shared" si="1"/>
        <v>72</v>
      </c>
      <c r="J3" t="str">
        <f t="shared" si="2"/>
        <v>B</v>
      </c>
      <c r="K3" t="str">
        <f t="shared" si="3"/>
        <v>Pass</v>
      </c>
    </row>
    <row r="4" spans="1:15" x14ac:dyDescent="0.25">
      <c r="A4">
        <v>1003</v>
      </c>
      <c r="B4" t="s">
        <v>12</v>
      </c>
      <c r="C4">
        <v>92</v>
      </c>
      <c r="D4">
        <v>63</v>
      </c>
      <c r="E4">
        <v>89</v>
      </c>
      <c r="F4">
        <v>67</v>
      </c>
      <c r="G4">
        <v>96</v>
      </c>
      <c r="H4">
        <f t="shared" si="0"/>
        <v>407</v>
      </c>
      <c r="I4">
        <f t="shared" si="1"/>
        <v>81.400000000000006</v>
      </c>
      <c r="J4" t="str">
        <f t="shared" si="2"/>
        <v>A</v>
      </c>
      <c r="K4" t="str">
        <f t="shared" si="3"/>
        <v>Pass</v>
      </c>
    </row>
    <row r="5" spans="1:15" x14ac:dyDescent="0.25">
      <c r="A5">
        <v>1004</v>
      </c>
      <c r="B5" t="s">
        <v>13</v>
      </c>
      <c r="C5">
        <v>77</v>
      </c>
      <c r="D5">
        <v>85</v>
      </c>
      <c r="E5">
        <v>83</v>
      </c>
      <c r="F5">
        <v>66</v>
      </c>
      <c r="G5">
        <v>92</v>
      </c>
      <c r="H5">
        <f t="shared" si="0"/>
        <v>403</v>
      </c>
      <c r="I5">
        <f t="shared" si="1"/>
        <v>80.599999999999994</v>
      </c>
      <c r="J5" t="str">
        <f t="shared" si="2"/>
        <v>A</v>
      </c>
      <c r="K5" t="str">
        <f t="shared" si="3"/>
        <v>Pass</v>
      </c>
    </row>
    <row r="6" spans="1:15" x14ac:dyDescent="0.25">
      <c r="A6">
        <v>1005</v>
      </c>
      <c r="B6" t="s">
        <v>14</v>
      </c>
      <c r="C6">
        <v>75</v>
      </c>
      <c r="D6">
        <v>71</v>
      </c>
      <c r="E6">
        <v>66</v>
      </c>
      <c r="F6">
        <v>64</v>
      </c>
      <c r="G6">
        <v>78</v>
      </c>
      <c r="H6">
        <f t="shared" si="0"/>
        <v>354</v>
      </c>
      <c r="I6">
        <f t="shared" si="1"/>
        <v>70.8</v>
      </c>
      <c r="J6" t="str">
        <f t="shared" si="2"/>
        <v>B</v>
      </c>
      <c r="K6" t="str">
        <f t="shared" si="3"/>
        <v>Pass</v>
      </c>
    </row>
    <row r="7" spans="1:15" x14ac:dyDescent="0.25">
      <c r="A7">
        <v>1006</v>
      </c>
      <c r="B7" t="s">
        <v>15</v>
      </c>
      <c r="C7">
        <v>71</v>
      </c>
      <c r="D7">
        <v>98</v>
      </c>
      <c r="E7">
        <v>88</v>
      </c>
      <c r="F7">
        <v>75</v>
      </c>
      <c r="G7">
        <v>76</v>
      </c>
      <c r="H7">
        <f t="shared" si="0"/>
        <v>408</v>
      </c>
      <c r="I7">
        <f t="shared" si="1"/>
        <v>81.599999999999994</v>
      </c>
      <c r="J7" t="str">
        <f t="shared" si="2"/>
        <v>A</v>
      </c>
      <c r="K7" t="str">
        <f t="shared" si="3"/>
        <v>Pass</v>
      </c>
    </row>
    <row r="8" spans="1:15" x14ac:dyDescent="0.25">
      <c r="A8">
        <v>1007</v>
      </c>
      <c r="B8" t="s">
        <v>16</v>
      </c>
      <c r="C8">
        <v>87</v>
      </c>
      <c r="D8">
        <v>99</v>
      </c>
      <c r="E8">
        <v>94</v>
      </c>
      <c r="F8">
        <v>88</v>
      </c>
      <c r="G8">
        <v>94</v>
      </c>
      <c r="H8">
        <f t="shared" si="0"/>
        <v>462</v>
      </c>
      <c r="I8">
        <f t="shared" si="1"/>
        <v>92.4</v>
      </c>
      <c r="J8" t="str">
        <f t="shared" si="2"/>
        <v>A+</v>
      </c>
      <c r="K8" t="str">
        <f t="shared" si="3"/>
        <v>Pass</v>
      </c>
      <c r="N8" s="10" t="s">
        <v>67</v>
      </c>
      <c r="O8" s="10"/>
    </row>
    <row r="9" spans="1:15" x14ac:dyDescent="0.25">
      <c r="A9">
        <v>1008</v>
      </c>
      <c r="B9" t="s">
        <v>17</v>
      </c>
      <c r="C9">
        <v>76</v>
      </c>
      <c r="D9">
        <v>67</v>
      </c>
      <c r="E9">
        <v>60</v>
      </c>
      <c r="F9">
        <v>74</v>
      </c>
      <c r="G9">
        <v>68</v>
      </c>
      <c r="H9">
        <f t="shared" si="0"/>
        <v>345</v>
      </c>
      <c r="I9">
        <f t="shared" si="1"/>
        <v>69</v>
      </c>
      <c r="J9" t="str">
        <f t="shared" si="2"/>
        <v>C</v>
      </c>
      <c r="K9" t="str">
        <f t="shared" si="3"/>
        <v>Pass</v>
      </c>
      <c r="N9" s="6" t="s">
        <v>9</v>
      </c>
      <c r="O9" s="6" t="s">
        <v>68</v>
      </c>
    </row>
    <row r="10" spans="1:15" x14ac:dyDescent="0.25">
      <c r="A10">
        <v>1009</v>
      </c>
      <c r="B10" t="s">
        <v>18</v>
      </c>
      <c r="C10">
        <v>89</v>
      </c>
      <c r="D10">
        <v>60</v>
      </c>
      <c r="E10">
        <v>82</v>
      </c>
      <c r="F10">
        <v>62</v>
      </c>
      <c r="G10">
        <v>100</v>
      </c>
      <c r="H10">
        <f t="shared" si="0"/>
        <v>393</v>
      </c>
      <c r="I10">
        <f t="shared" si="1"/>
        <v>78.599999999999994</v>
      </c>
      <c r="J10" t="str">
        <f t="shared" si="2"/>
        <v>B</v>
      </c>
      <c r="K10" t="str">
        <f t="shared" si="3"/>
        <v>Pass</v>
      </c>
      <c r="N10" s="6" t="s">
        <v>69</v>
      </c>
      <c r="O10" s="6">
        <f>COUNTIF(J2:J51,"A+")</f>
        <v>1</v>
      </c>
    </row>
    <row r="11" spans="1:15" x14ac:dyDescent="0.25">
      <c r="A11">
        <v>1010</v>
      </c>
      <c r="B11" t="s">
        <v>19</v>
      </c>
      <c r="C11">
        <v>87</v>
      </c>
      <c r="D11">
        <v>79</v>
      </c>
      <c r="E11">
        <v>65</v>
      </c>
      <c r="F11">
        <v>83</v>
      </c>
      <c r="G11">
        <v>68</v>
      </c>
      <c r="H11">
        <f t="shared" si="0"/>
        <v>382</v>
      </c>
      <c r="I11">
        <f t="shared" si="1"/>
        <v>76.400000000000006</v>
      </c>
      <c r="J11" t="str">
        <f t="shared" si="2"/>
        <v>B</v>
      </c>
      <c r="K11" t="str">
        <f t="shared" si="3"/>
        <v>Pass</v>
      </c>
      <c r="N11" s="6" t="s">
        <v>73</v>
      </c>
      <c r="O11" s="6">
        <f>COUNTIF(J2:J51,"A")</f>
        <v>20</v>
      </c>
    </row>
    <row r="12" spans="1:15" x14ac:dyDescent="0.25">
      <c r="A12">
        <v>1011</v>
      </c>
      <c r="B12" t="s">
        <v>20</v>
      </c>
      <c r="C12">
        <v>65</v>
      </c>
      <c r="D12">
        <v>64</v>
      </c>
      <c r="E12">
        <v>67</v>
      </c>
      <c r="F12">
        <v>62</v>
      </c>
      <c r="G12">
        <v>82</v>
      </c>
      <c r="H12">
        <f t="shared" si="0"/>
        <v>340</v>
      </c>
      <c r="I12">
        <f t="shared" si="1"/>
        <v>68</v>
      </c>
      <c r="J12" t="str">
        <f t="shared" si="2"/>
        <v>C</v>
      </c>
      <c r="K12" t="str">
        <f t="shared" si="3"/>
        <v>Pass</v>
      </c>
      <c r="N12" s="6" t="s">
        <v>70</v>
      </c>
      <c r="O12" s="6">
        <f>COUNTIF(J2:J51,"B")</f>
        <v>27</v>
      </c>
    </row>
    <row r="13" spans="1:15" x14ac:dyDescent="0.25">
      <c r="A13">
        <v>1012</v>
      </c>
      <c r="B13" t="s">
        <v>21</v>
      </c>
      <c r="C13">
        <v>83</v>
      </c>
      <c r="D13">
        <v>73</v>
      </c>
      <c r="E13">
        <v>64</v>
      </c>
      <c r="F13">
        <v>82</v>
      </c>
      <c r="G13">
        <v>87</v>
      </c>
      <c r="H13">
        <f t="shared" si="0"/>
        <v>389</v>
      </c>
      <c r="I13">
        <f t="shared" si="1"/>
        <v>77.8</v>
      </c>
      <c r="J13" t="str">
        <f t="shared" si="2"/>
        <v>B</v>
      </c>
      <c r="K13" t="str">
        <f t="shared" si="3"/>
        <v>Pass</v>
      </c>
      <c r="N13" s="6" t="s">
        <v>71</v>
      </c>
      <c r="O13" s="6">
        <f>COUNTIF(J2:J51,"C")</f>
        <v>2</v>
      </c>
    </row>
    <row r="14" spans="1:15" x14ac:dyDescent="0.25">
      <c r="A14">
        <v>1013</v>
      </c>
      <c r="B14" t="s">
        <v>22</v>
      </c>
      <c r="C14">
        <v>66</v>
      </c>
      <c r="D14">
        <v>71</v>
      </c>
      <c r="E14">
        <v>83</v>
      </c>
      <c r="F14">
        <v>56</v>
      </c>
      <c r="G14">
        <v>96</v>
      </c>
      <c r="H14">
        <f t="shared" si="0"/>
        <v>372</v>
      </c>
      <c r="I14">
        <f t="shared" si="1"/>
        <v>74.400000000000006</v>
      </c>
      <c r="J14" t="str">
        <f t="shared" si="2"/>
        <v>B</v>
      </c>
      <c r="K14" t="str">
        <f t="shared" si="3"/>
        <v>Pass</v>
      </c>
      <c r="N14" s="6" t="s">
        <v>72</v>
      </c>
      <c r="O14" s="6">
        <f>COUNTIF(J2:J51,"D")</f>
        <v>0</v>
      </c>
    </row>
    <row r="15" spans="1:15" x14ac:dyDescent="0.25">
      <c r="A15">
        <v>1014</v>
      </c>
      <c r="B15" t="s">
        <v>23</v>
      </c>
      <c r="C15">
        <v>74</v>
      </c>
      <c r="D15">
        <v>90</v>
      </c>
      <c r="E15">
        <v>78</v>
      </c>
      <c r="F15">
        <v>86</v>
      </c>
      <c r="G15">
        <v>69</v>
      </c>
      <c r="H15">
        <f t="shared" si="0"/>
        <v>397</v>
      </c>
      <c r="I15">
        <f t="shared" si="1"/>
        <v>79.400000000000006</v>
      </c>
      <c r="J15" t="str">
        <f t="shared" si="2"/>
        <v>B</v>
      </c>
      <c r="K15" t="str">
        <f t="shared" si="3"/>
        <v>Pass</v>
      </c>
      <c r="N15" s="6" t="s">
        <v>74</v>
      </c>
      <c r="O15" s="6">
        <f>COUNTIF(J2:J51,"F")</f>
        <v>0</v>
      </c>
    </row>
    <row r="16" spans="1:15" x14ac:dyDescent="0.25">
      <c r="A16">
        <v>1015</v>
      </c>
      <c r="B16" t="s">
        <v>24</v>
      </c>
      <c r="C16">
        <v>82</v>
      </c>
      <c r="D16">
        <v>90</v>
      </c>
      <c r="E16">
        <v>74</v>
      </c>
      <c r="F16">
        <v>93</v>
      </c>
      <c r="G16">
        <v>100</v>
      </c>
      <c r="H16">
        <f t="shared" si="0"/>
        <v>439</v>
      </c>
      <c r="I16">
        <f t="shared" si="1"/>
        <v>87.8</v>
      </c>
      <c r="J16" t="str">
        <f t="shared" si="2"/>
        <v>A</v>
      </c>
      <c r="K16" t="str">
        <f t="shared" si="3"/>
        <v>Pass</v>
      </c>
    </row>
    <row r="17" spans="1:11" x14ac:dyDescent="0.25">
      <c r="A17">
        <v>1016</v>
      </c>
      <c r="B17" t="s">
        <v>25</v>
      </c>
      <c r="C17">
        <v>94</v>
      </c>
      <c r="D17">
        <v>76</v>
      </c>
      <c r="E17">
        <v>82</v>
      </c>
      <c r="F17">
        <v>83</v>
      </c>
      <c r="G17">
        <v>82</v>
      </c>
      <c r="H17">
        <f t="shared" si="0"/>
        <v>417</v>
      </c>
      <c r="I17">
        <f t="shared" si="1"/>
        <v>83.4</v>
      </c>
      <c r="J17" t="str">
        <f t="shared" si="2"/>
        <v>A</v>
      </c>
      <c r="K17" t="str">
        <f t="shared" si="3"/>
        <v>Pass</v>
      </c>
    </row>
    <row r="18" spans="1:11" x14ac:dyDescent="0.25">
      <c r="A18">
        <v>1017</v>
      </c>
      <c r="B18" t="s">
        <v>26</v>
      </c>
      <c r="C18">
        <v>63</v>
      </c>
      <c r="D18">
        <v>97</v>
      </c>
      <c r="E18">
        <v>97</v>
      </c>
      <c r="F18">
        <v>85</v>
      </c>
      <c r="G18">
        <v>84</v>
      </c>
      <c r="H18">
        <f t="shared" si="0"/>
        <v>426</v>
      </c>
      <c r="I18">
        <f t="shared" si="1"/>
        <v>85.2</v>
      </c>
      <c r="J18" t="str">
        <f t="shared" si="2"/>
        <v>A</v>
      </c>
      <c r="K18" t="str">
        <f t="shared" si="3"/>
        <v>Pass</v>
      </c>
    </row>
    <row r="19" spans="1:11" x14ac:dyDescent="0.25">
      <c r="A19">
        <v>1018</v>
      </c>
      <c r="B19" t="s">
        <v>27</v>
      </c>
      <c r="C19">
        <v>65</v>
      </c>
      <c r="D19">
        <v>90</v>
      </c>
      <c r="E19">
        <v>69</v>
      </c>
      <c r="F19">
        <v>69</v>
      </c>
      <c r="G19">
        <v>69</v>
      </c>
      <c r="H19">
        <f t="shared" si="0"/>
        <v>362</v>
      </c>
      <c r="I19">
        <f t="shared" si="1"/>
        <v>72.400000000000006</v>
      </c>
      <c r="J19" t="str">
        <f t="shared" si="2"/>
        <v>B</v>
      </c>
      <c r="K19" t="str">
        <f t="shared" si="3"/>
        <v>Pass</v>
      </c>
    </row>
    <row r="20" spans="1:11" x14ac:dyDescent="0.25">
      <c r="A20">
        <v>1019</v>
      </c>
      <c r="B20" t="s">
        <v>28</v>
      </c>
      <c r="C20">
        <v>62</v>
      </c>
      <c r="D20">
        <v>91</v>
      </c>
      <c r="E20">
        <v>71</v>
      </c>
      <c r="F20">
        <v>60</v>
      </c>
      <c r="G20">
        <v>95</v>
      </c>
      <c r="H20">
        <f t="shared" si="0"/>
        <v>379</v>
      </c>
      <c r="I20">
        <f t="shared" si="1"/>
        <v>75.8</v>
      </c>
      <c r="J20" t="str">
        <f t="shared" si="2"/>
        <v>B</v>
      </c>
      <c r="K20" t="str">
        <f t="shared" si="3"/>
        <v>Pass</v>
      </c>
    </row>
    <row r="21" spans="1:11" x14ac:dyDescent="0.25">
      <c r="A21">
        <v>1020</v>
      </c>
      <c r="B21" t="s">
        <v>29</v>
      </c>
      <c r="C21">
        <v>74</v>
      </c>
      <c r="D21">
        <v>86</v>
      </c>
      <c r="E21">
        <v>82</v>
      </c>
      <c r="F21">
        <v>68</v>
      </c>
      <c r="G21">
        <v>87</v>
      </c>
      <c r="H21">
        <f t="shared" si="0"/>
        <v>397</v>
      </c>
      <c r="I21">
        <f t="shared" si="1"/>
        <v>79.400000000000006</v>
      </c>
      <c r="J21" t="str">
        <f t="shared" si="2"/>
        <v>B</v>
      </c>
      <c r="K21" t="str">
        <f t="shared" si="3"/>
        <v>Pass</v>
      </c>
    </row>
    <row r="22" spans="1:11" x14ac:dyDescent="0.25">
      <c r="A22">
        <v>1021</v>
      </c>
      <c r="B22" t="s">
        <v>30</v>
      </c>
      <c r="C22">
        <v>79</v>
      </c>
      <c r="D22">
        <v>70</v>
      </c>
      <c r="E22">
        <v>97</v>
      </c>
      <c r="F22">
        <v>95</v>
      </c>
      <c r="G22">
        <v>90</v>
      </c>
      <c r="H22">
        <f t="shared" si="0"/>
        <v>431</v>
      </c>
      <c r="I22">
        <f t="shared" si="1"/>
        <v>86.2</v>
      </c>
      <c r="J22" t="str">
        <f t="shared" si="2"/>
        <v>A</v>
      </c>
      <c r="K22" t="str">
        <f t="shared" si="3"/>
        <v>Pass</v>
      </c>
    </row>
    <row r="23" spans="1:11" x14ac:dyDescent="0.25">
      <c r="A23">
        <v>1022</v>
      </c>
      <c r="B23" t="s">
        <v>31</v>
      </c>
      <c r="C23">
        <v>84</v>
      </c>
      <c r="D23">
        <v>70</v>
      </c>
      <c r="E23">
        <v>87</v>
      </c>
      <c r="F23">
        <v>56</v>
      </c>
      <c r="G23">
        <v>87</v>
      </c>
      <c r="H23">
        <f t="shared" si="0"/>
        <v>384</v>
      </c>
      <c r="I23">
        <f t="shared" si="1"/>
        <v>76.8</v>
      </c>
      <c r="J23" t="str">
        <f t="shared" si="2"/>
        <v>B</v>
      </c>
      <c r="K23" t="str">
        <f t="shared" si="3"/>
        <v>Pass</v>
      </c>
    </row>
    <row r="24" spans="1:11" x14ac:dyDescent="0.25">
      <c r="A24">
        <v>1023</v>
      </c>
      <c r="B24" t="s">
        <v>32</v>
      </c>
      <c r="C24">
        <v>68</v>
      </c>
      <c r="D24">
        <v>62</v>
      </c>
      <c r="E24">
        <v>65</v>
      </c>
      <c r="F24">
        <v>86</v>
      </c>
      <c r="G24">
        <v>96</v>
      </c>
      <c r="H24">
        <f t="shared" si="0"/>
        <v>377</v>
      </c>
      <c r="I24">
        <f t="shared" si="1"/>
        <v>75.400000000000006</v>
      </c>
      <c r="J24" t="str">
        <f t="shared" si="2"/>
        <v>B</v>
      </c>
      <c r="K24" t="str">
        <f t="shared" si="3"/>
        <v>Pass</v>
      </c>
    </row>
    <row r="25" spans="1:11" x14ac:dyDescent="0.25">
      <c r="A25">
        <v>1024</v>
      </c>
      <c r="B25" t="s">
        <v>33</v>
      </c>
      <c r="C25">
        <v>96</v>
      </c>
      <c r="D25">
        <v>62</v>
      </c>
      <c r="E25">
        <v>71</v>
      </c>
      <c r="F25">
        <v>56</v>
      </c>
      <c r="G25">
        <v>90</v>
      </c>
      <c r="H25">
        <f t="shared" si="0"/>
        <v>375</v>
      </c>
      <c r="I25">
        <f t="shared" si="1"/>
        <v>75</v>
      </c>
      <c r="J25" t="str">
        <f t="shared" si="2"/>
        <v>B</v>
      </c>
      <c r="K25" t="str">
        <f t="shared" si="3"/>
        <v>Pass</v>
      </c>
    </row>
    <row r="26" spans="1:11" x14ac:dyDescent="0.25">
      <c r="A26">
        <v>1025</v>
      </c>
      <c r="B26" t="s">
        <v>34</v>
      </c>
      <c r="C26">
        <v>93</v>
      </c>
      <c r="D26">
        <v>91</v>
      </c>
      <c r="E26">
        <v>72</v>
      </c>
      <c r="F26">
        <v>57</v>
      </c>
      <c r="G26">
        <v>86</v>
      </c>
      <c r="H26">
        <f t="shared" si="0"/>
        <v>399</v>
      </c>
      <c r="I26">
        <f t="shared" si="1"/>
        <v>79.8</v>
      </c>
      <c r="J26" t="str">
        <f t="shared" si="2"/>
        <v>B</v>
      </c>
      <c r="K26" t="str">
        <f t="shared" si="3"/>
        <v>Pass</v>
      </c>
    </row>
    <row r="27" spans="1:11" x14ac:dyDescent="0.25">
      <c r="A27">
        <v>1026</v>
      </c>
      <c r="B27" t="s">
        <v>35</v>
      </c>
      <c r="C27">
        <v>69</v>
      </c>
      <c r="D27">
        <v>71</v>
      </c>
      <c r="E27">
        <v>89</v>
      </c>
      <c r="F27">
        <v>85</v>
      </c>
      <c r="G27">
        <v>68</v>
      </c>
      <c r="H27">
        <f t="shared" si="0"/>
        <v>382</v>
      </c>
      <c r="I27">
        <f t="shared" si="1"/>
        <v>76.400000000000006</v>
      </c>
      <c r="J27" t="str">
        <f t="shared" si="2"/>
        <v>B</v>
      </c>
      <c r="K27" t="str">
        <f t="shared" si="3"/>
        <v>Pass</v>
      </c>
    </row>
    <row r="28" spans="1:11" x14ac:dyDescent="0.25">
      <c r="A28">
        <v>1027</v>
      </c>
      <c r="B28" t="s">
        <v>36</v>
      </c>
      <c r="C28">
        <v>63</v>
      </c>
      <c r="D28">
        <v>83</v>
      </c>
      <c r="E28">
        <v>84</v>
      </c>
      <c r="F28">
        <v>57</v>
      </c>
      <c r="G28">
        <v>90</v>
      </c>
      <c r="H28">
        <f t="shared" si="0"/>
        <v>377</v>
      </c>
      <c r="I28">
        <f t="shared" si="1"/>
        <v>75.400000000000006</v>
      </c>
      <c r="J28" t="str">
        <f t="shared" si="2"/>
        <v>B</v>
      </c>
      <c r="K28" t="str">
        <f t="shared" si="3"/>
        <v>Pass</v>
      </c>
    </row>
    <row r="29" spans="1:11" x14ac:dyDescent="0.25">
      <c r="A29">
        <v>1028</v>
      </c>
      <c r="B29" t="s">
        <v>37</v>
      </c>
      <c r="C29">
        <v>64</v>
      </c>
      <c r="D29">
        <v>68</v>
      </c>
      <c r="E29">
        <v>78</v>
      </c>
      <c r="F29">
        <v>62</v>
      </c>
      <c r="G29">
        <v>81</v>
      </c>
      <c r="H29">
        <f t="shared" si="0"/>
        <v>353</v>
      </c>
      <c r="I29">
        <f t="shared" si="1"/>
        <v>70.599999999999994</v>
      </c>
      <c r="J29" t="str">
        <f t="shared" si="2"/>
        <v>B</v>
      </c>
      <c r="K29" t="str">
        <f t="shared" si="3"/>
        <v>Pass</v>
      </c>
    </row>
    <row r="30" spans="1:11" x14ac:dyDescent="0.25">
      <c r="A30">
        <v>1029</v>
      </c>
      <c r="B30" t="s">
        <v>38</v>
      </c>
      <c r="C30">
        <v>67</v>
      </c>
      <c r="D30">
        <v>60</v>
      </c>
      <c r="E30">
        <v>84</v>
      </c>
      <c r="F30">
        <v>58</v>
      </c>
      <c r="G30">
        <v>93</v>
      </c>
      <c r="H30">
        <f t="shared" si="0"/>
        <v>362</v>
      </c>
      <c r="I30">
        <f t="shared" si="1"/>
        <v>72.400000000000006</v>
      </c>
      <c r="J30" t="str">
        <f t="shared" si="2"/>
        <v>B</v>
      </c>
      <c r="K30" t="str">
        <f t="shared" si="3"/>
        <v>Pass</v>
      </c>
    </row>
    <row r="31" spans="1:11" x14ac:dyDescent="0.25">
      <c r="A31">
        <v>1030</v>
      </c>
      <c r="B31" t="s">
        <v>39</v>
      </c>
      <c r="C31">
        <v>69</v>
      </c>
      <c r="D31">
        <v>88</v>
      </c>
      <c r="E31">
        <v>94</v>
      </c>
      <c r="F31">
        <v>92</v>
      </c>
      <c r="G31">
        <v>92</v>
      </c>
      <c r="H31">
        <f t="shared" si="0"/>
        <v>435</v>
      </c>
      <c r="I31">
        <f t="shared" si="1"/>
        <v>87</v>
      </c>
      <c r="J31" t="str">
        <f t="shared" si="2"/>
        <v>A</v>
      </c>
      <c r="K31" t="str">
        <f t="shared" si="3"/>
        <v>Pass</v>
      </c>
    </row>
    <row r="32" spans="1:11" x14ac:dyDescent="0.25">
      <c r="A32">
        <v>1031</v>
      </c>
      <c r="B32" t="s">
        <v>40</v>
      </c>
      <c r="C32">
        <v>96</v>
      </c>
      <c r="D32">
        <v>60</v>
      </c>
      <c r="E32">
        <v>74</v>
      </c>
      <c r="F32">
        <v>73</v>
      </c>
      <c r="G32">
        <v>83</v>
      </c>
      <c r="H32">
        <f t="shared" si="0"/>
        <v>386</v>
      </c>
      <c r="I32">
        <f t="shared" si="1"/>
        <v>77.2</v>
      </c>
      <c r="J32" t="str">
        <f t="shared" si="2"/>
        <v>B</v>
      </c>
      <c r="K32" t="str">
        <f t="shared" si="3"/>
        <v>Pass</v>
      </c>
    </row>
    <row r="33" spans="1:11" x14ac:dyDescent="0.25">
      <c r="A33">
        <v>1032</v>
      </c>
      <c r="B33" t="s">
        <v>41</v>
      </c>
      <c r="C33">
        <v>64</v>
      </c>
      <c r="D33">
        <v>75</v>
      </c>
      <c r="E33">
        <v>77</v>
      </c>
      <c r="F33">
        <v>68</v>
      </c>
      <c r="G33">
        <v>82</v>
      </c>
      <c r="H33">
        <f t="shared" si="0"/>
        <v>366</v>
      </c>
      <c r="I33">
        <f t="shared" si="1"/>
        <v>73.2</v>
      </c>
      <c r="J33" t="str">
        <f t="shared" si="2"/>
        <v>B</v>
      </c>
      <c r="K33" t="str">
        <f t="shared" si="3"/>
        <v>Pass</v>
      </c>
    </row>
    <row r="34" spans="1:11" x14ac:dyDescent="0.25">
      <c r="A34">
        <v>1033</v>
      </c>
      <c r="B34" t="s">
        <v>42</v>
      </c>
      <c r="C34">
        <v>97</v>
      </c>
      <c r="D34">
        <v>85</v>
      </c>
      <c r="E34">
        <v>82</v>
      </c>
      <c r="F34">
        <v>61</v>
      </c>
      <c r="G34">
        <v>99</v>
      </c>
      <c r="H34">
        <f t="shared" ref="H34:H51" si="4">SUM(C34:G34)</f>
        <v>424</v>
      </c>
      <c r="I34">
        <f t="shared" ref="I34:I51" si="5">AVERAGE(C34:G34)</f>
        <v>84.8</v>
      </c>
      <c r="J34" t="str">
        <f t="shared" ref="J34:J51" si="6">IF(I34&gt;=90,"A+",IF(I34&gt;=80,"A",IF(I34&gt;=70,"B",IF(I34&gt;=60,"C",IF(I34&gt;=50,"D","F")))))</f>
        <v>A</v>
      </c>
      <c r="K34" t="str">
        <f t="shared" ref="K34:K51" si="7">IF(OR(J34="A+",J34="A",J34="B",J34="C",J34="D"),"Pass","Fail")</f>
        <v>Pass</v>
      </c>
    </row>
    <row r="35" spans="1:11" x14ac:dyDescent="0.25">
      <c r="A35">
        <v>1034</v>
      </c>
      <c r="B35" t="s">
        <v>43</v>
      </c>
      <c r="C35">
        <v>94</v>
      </c>
      <c r="D35">
        <v>89</v>
      </c>
      <c r="E35">
        <v>93</v>
      </c>
      <c r="F35">
        <v>61</v>
      </c>
      <c r="G35">
        <v>74</v>
      </c>
      <c r="H35">
        <f t="shared" si="4"/>
        <v>411</v>
      </c>
      <c r="I35">
        <f t="shared" si="5"/>
        <v>82.2</v>
      </c>
      <c r="J35" t="str">
        <f t="shared" si="6"/>
        <v>A</v>
      </c>
      <c r="K35" t="str">
        <f t="shared" si="7"/>
        <v>Pass</v>
      </c>
    </row>
    <row r="36" spans="1:11" x14ac:dyDescent="0.25">
      <c r="A36">
        <v>1035</v>
      </c>
      <c r="B36" t="s">
        <v>44</v>
      </c>
      <c r="C36">
        <v>60</v>
      </c>
      <c r="D36">
        <v>81</v>
      </c>
      <c r="E36">
        <v>79</v>
      </c>
      <c r="F36">
        <v>72</v>
      </c>
      <c r="G36">
        <v>82</v>
      </c>
      <c r="H36">
        <f t="shared" si="4"/>
        <v>374</v>
      </c>
      <c r="I36">
        <f t="shared" si="5"/>
        <v>74.8</v>
      </c>
      <c r="J36" t="str">
        <f t="shared" si="6"/>
        <v>B</v>
      </c>
      <c r="K36" t="str">
        <f t="shared" si="7"/>
        <v>Pass</v>
      </c>
    </row>
    <row r="37" spans="1:11" x14ac:dyDescent="0.25">
      <c r="A37">
        <v>1036</v>
      </c>
      <c r="B37" t="s">
        <v>45</v>
      </c>
      <c r="C37">
        <v>68</v>
      </c>
      <c r="D37">
        <v>85</v>
      </c>
      <c r="E37">
        <v>96</v>
      </c>
      <c r="F37">
        <v>95</v>
      </c>
      <c r="G37">
        <v>69</v>
      </c>
      <c r="H37">
        <f t="shared" si="4"/>
        <v>413</v>
      </c>
      <c r="I37">
        <f t="shared" si="5"/>
        <v>82.6</v>
      </c>
      <c r="J37" t="str">
        <f t="shared" si="6"/>
        <v>A</v>
      </c>
      <c r="K37" t="str">
        <f t="shared" si="7"/>
        <v>Pass</v>
      </c>
    </row>
    <row r="38" spans="1:11" x14ac:dyDescent="0.25">
      <c r="A38">
        <v>1037</v>
      </c>
      <c r="B38" t="s">
        <v>46</v>
      </c>
      <c r="C38">
        <v>61</v>
      </c>
      <c r="D38">
        <v>84</v>
      </c>
      <c r="E38">
        <v>89</v>
      </c>
      <c r="F38">
        <v>63</v>
      </c>
      <c r="G38">
        <v>100</v>
      </c>
      <c r="H38">
        <f t="shared" si="4"/>
        <v>397</v>
      </c>
      <c r="I38">
        <f t="shared" si="5"/>
        <v>79.400000000000006</v>
      </c>
      <c r="J38" t="str">
        <f t="shared" si="6"/>
        <v>B</v>
      </c>
      <c r="K38" t="str">
        <f t="shared" si="7"/>
        <v>Pass</v>
      </c>
    </row>
    <row r="39" spans="1:11" x14ac:dyDescent="0.25">
      <c r="A39">
        <v>1038</v>
      </c>
      <c r="B39" t="s">
        <v>47</v>
      </c>
      <c r="C39">
        <v>81</v>
      </c>
      <c r="D39">
        <v>80</v>
      </c>
      <c r="E39">
        <v>90</v>
      </c>
      <c r="F39">
        <v>68</v>
      </c>
      <c r="G39">
        <v>93</v>
      </c>
      <c r="H39">
        <f t="shared" si="4"/>
        <v>412</v>
      </c>
      <c r="I39">
        <f t="shared" si="5"/>
        <v>82.4</v>
      </c>
      <c r="J39" t="str">
        <f t="shared" si="6"/>
        <v>A</v>
      </c>
      <c r="K39" t="str">
        <f t="shared" si="7"/>
        <v>Pass</v>
      </c>
    </row>
    <row r="40" spans="1:11" x14ac:dyDescent="0.25">
      <c r="A40">
        <v>1039</v>
      </c>
      <c r="B40" t="s">
        <v>48</v>
      </c>
      <c r="C40">
        <v>65</v>
      </c>
      <c r="D40">
        <v>84</v>
      </c>
      <c r="E40">
        <v>63</v>
      </c>
      <c r="F40">
        <v>66</v>
      </c>
      <c r="G40">
        <v>75</v>
      </c>
      <c r="H40">
        <f t="shared" si="4"/>
        <v>353</v>
      </c>
      <c r="I40">
        <f t="shared" si="5"/>
        <v>70.599999999999994</v>
      </c>
      <c r="J40" t="str">
        <f t="shared" si="6"/>
        <v>B</v>
      </c>
      <c r="K40" t="str">
        <f t="shared" si="7"/>
        <v>Pass</v>
      </c>
    </row>
    <row r="41" spans="1:11" x14ac:dyDescent="0.25">
      <c r="A41">
        <v>1040</v>
      </c>
      <c r="B41" t="s">
        <v>49</v>
      </c>
      <c r="C41">
        <v>87</v>
      </c>
      <c r="D41">
        <v>62</v>
      </c>
      <c r="E41">
        <v>77</v>
      </c>
      <c r="F41">
        <v>64</v>
      </c>
      <c r="G41">
        <v>81</v>
      </c>
      <c r="H41">
        <f t="shared" si="4"/>
        <v>371</v>
      </c>
      <c r="I41">
        <f t="shared" si="5"/>
        <v>74.2</v>
      </c>
      <c r="J41" t="str">
        <f t="shared" si="6"/>
        <v>B</v>
      </c>
      <c r="K41" t="str">
        <f t="shared" si="7"/>
        <v>Pass</v>
      </c>
    </row>
    <row r="42" spans="1:11" x14ac:dyDescent="0.25">
      <c r="A42">
        <v>1041</v>
      </c>
      <c r="B42" t="s">
        <v>50</v>
      </c>
      <c r="C42">
        <v>69</v>
      </c>
      <c r="D42">
        <v>75</v>
      </c>
      <c r="E42">
        <v>77</v>
      </c>
      <c r="F42">
        <v>87</v>
      </c>
      <c r="G42">
        <v>72</v>
      </c>
      <c r="H42">
        <f t="shared" si="4"/>
        <v>380</v>
      </c>
      <c r="I42">
        <f t="shared" si="5"/>
        <v>76</v>
      </c>
      <c r="J42" t="str">
        <f t="shared" si="6"/>
        <v>B</v>
      </c>
      <c r="K42" t="str">
        <f t="shared" si="7"/>
        <v>Pass</v>
      </c>
    </row>
    <row r="43" spans="1:11" x14ac:dyDescent="0.25">
      <c r="A43">
        <v>1042</v>
      </c>
      <c r="B43" t="s">
        <v>51</v>
      </c>
      <c r="C43">
        <v>86</v>
      </c>
      <c r="D43">
        <v>90</v>
      </c>
      <c r="E43">
        <v>96</v>
      </c>
      <c r="F43">
        <v>90</v>
      </c>
      <c r="G43">
        <v>72</v>
      </c>
      <c r="H43">
        <f t="shared" si="4"/>
        <v>434</v>
      </c>
      <c r="I43">
        <f t="shared" si="5"/>
        <v>86.8</v>
      </c>
      <c r="J43" t="str">
        <f t="shared" si="6"/>
        <v>A</v>
      </c>
      <c r="K43" t="str">
        <f t="shared" si="7"/>
        <v>Pass</v>
      </c>
    </row>
    <row r="44" spans="1:11" x14ac:dyDescent="0.25">
      <c r="A44">
        <v>1043</v>
      </c>
      <c r="B44" t="s">
        <v>52</v>
      </c>
      <c r="C44">
        <v>95</v>
      </c>
      <c r="D44">
        <v>97</v>
      </c>
      <c r="E44">
        <v>62</v>
      </c>
      <c r="F44">
        <v>86</v>
      </c>
      <c r="G44">
        <v>82</v>
      </c>
      <c r="H44">
        <f t="shared" si="4"/>
        <v>422</v>
      </c>
      <c r="I44">
        <f t="shared" si="5"/>
        <v>84.4</v>
      </c>
      <c r="J44" t="str">
        <f t="shared" si="6"/>
        <v>A</v>
      </c>
      <c r="K44" t="str">
        <f t="shared" si="7"/>
        <v>Pass</v>
      </c>
    </row>
    <row r="45" spans="1:11" x14ac:dyDescent="0.25">
      <c r="A45">
        <v>1044</v>
      </c>
      <c r="B45" t="s">
        <v>53</v>
      </c>
      <c r="C45">
        <v>95</v>
      </c>
      <c r="D45">
        <v>77</v>
      </c>
      <c r="E45">
        <v>77</v>
      </c>
      <c r="F45">
        <v>84</v>
      </c>
      <c r="G45">
        <v>94</v>
      </c>
      <c r="H45">
        <f t="shared" si="4"/>
        <v>427</v>
      </c>
      <c r="I45">
        <f t="shared" si="5"/>
        <v>85.4</v>
      </c>
      <c r="J45" t="str">
        <f t="shared" si="6"/>
        <v>A</v>
      </c>
      <c r="K45" t="str">
        <f t="shared" si="7"/>
        <v>Pass</v>
      </c>
    </row>
    <row r="46" spans="1:11" x14ac:dyDescent="0.25">
      <c r="A46">
        <v>1045</v>
      </c>
      <c r="B46" t="s">
        <v>54</v>
      </c>
      <c r="C46">
        <v>60</v>
      </c>
      <c r="D46">
        <v>87</v>
      </c>
      <c r="E46">
        <v>93</v>
      </c>
      <c r="F46">
        <v>83</v>
      </c>
      <c r="G46">
        <v>79</v>
      </c>
      <c r="H46">
        <f t="shared" si="4"/>
        <v>402</v>
      </c>
      <c r="I46">
        <f t="shared" si="5"/>
        <v>80.400000000000006</v>
      </c>
      <c r="J46" t="str">
        <f t="shared" si="6"/>
        <v>A</v>
      </c>
      <c r="K46" t="str">
        <f t="shared" si="7"/>
        <v>Pass</v>
      </c>
    </row>
    <row r="47" spans="1:11" x14ac:dyDescent="0.25">
      <c r="A47">
        <v>1046</v>
      </c>
      <c r="B47" t="s">
        <v>55</v>
      </c>
      <c r="C47">
        <v>72</v>
      </c>
      <c r="D47">
        <v>89</v>
      </c>
      <c r="E47">
        <v>60</v>
      </c>
      <c r="F47">
        <v>69</v>
      </c>
      <c r="G47">
        <v>73</v>
      </c>
      <c r="H47">
        <f t="shared" si="4"/>
        <v>363</v>
      </c>
      <c r="I47">
        <f t="shared" si="5"/>
        <v>72.599999999999994</v>
      </c>
      <c r="J47" t="str">
        <f t="shared" si="6"/>
        <v>B</v>
      </c>
      <c r="K47" t="str">
        <f t="shared" si="7"/>
        <v>Pass</v>
      </c>
    </row>
    <row r="48" spans="1:11" x14ac:dyDescent="0.25">
      <c r="A48">
        <v>1047</v>
      </c>
      <c r="B48" t="s">
        <v>56</v>
      </c>
      <c r="C48">
        <v>82</v>
      </c>
      <c r="D48">
        <v>88</v>
      </c>
      <c r="E48">
        <v>87</v>
      </c>
      <c r="F48">
        <v>74</v>
      </c>
      <c r="G48">
        <v>87</v>
      </c>
      <c r="H48">
        <f t="shared" si="4"/>
        <v>418</v>
      </c>
      <c r="I48">
        <f t="shared" si="5"/>
        <v>83.6</v>
      </c>
      <c r="J48" t="str">
        <f t="shared" si="6"/>
        <v>A</v>
      </c>
      <c r="K48" t="str">
        <f t="shared" si="7"/>
        <v>Pass</v>
      </c>
    </row>
    <row r="49" spans="1:11" x14ac:dyDescent="0.25">
      <c r="A49">
        <v>1048</v>
      </c>
      <c r="B49" t="s">
        <v>57</v>
      </c>
      <c r="C49">
        <v>89</v>
      </c>
      <c r="D49">
        <v>89</v>
      </c>
      <c r="E49">
        <v>84</v>
      </c>
      <c r="F49">
        <v>82</v>
      </c>
      <c r="G49">
        <v>83</v>
      </c>
      <c r="H49">
        <f t="shared" si="4"/>
        <v>427</v>
      </c>
      <c r="I49">
        <f t="shared" si="5"/>
        <v>85.4</v>
      </c>
      <c r="J49" t="str">
        <f t="shared" si="6"/>
        <v>A</v>
      </c>
      <c r="K49" t="str">
        <f t="shared" si="7"/>
        <v>Pass</v>
      </c>
    </row>
    <row r="50" spans="1:11" x14ac:dyDescent="0.25">
      <c r="A50">
        <v>1049</v>
      </c>
      <c r="B50" t="s">
        <v>58</v>
      </c>
      <c r="C50">
        <v>75</v>
      </c>
      <c r="D50">
        <v>96</v>
      </c>
      <c r="E50">
        <v>94</v>
      </c>
      <c r="F50">
        <v>95</v>
      </c>
      <c r="G50">
        <v>65</v>
      </c>
      <c r="H50">
        <f t="shared" si="4"/>
        <v>425</v>
      </c>
      <c r="I50">
        <f t="shared" si="5"/>
        <v>85</v>
      </c>
      <c r="J50" t="str">
        <f t="shared" si="6"/>
        <v>A</v>
      </c>
      <c r="K50" t="str">
        <f t="shared" si="7"/>
        <v>Pass</v>
      </c>
    </row>
    <row r="51" spans="1:11" x14ac:dyDescent="0.25">
      <c r="A51">
        <v>1050</v>
      </c>
      <c r="B51" t="s">
        <v>59</v>
      </c>
      <c r="C51">
        <v>87</v>
      </c>
      <c r="D51">
        <v>63</v>
      </c>
      <c r="E51">
        <v>78</v>
      </c>
      <c r="F51">
        <v>85</v>
      </c>
      <c r="G51">
        <v>82</v>
      </c>
      <c r="H51">
        <f t="shared" si="4"/>
        <v>395</v>
      </c>
      <c r="I51">
        <f t="shared" si="5"/>
        <v>79</v>
      </c>
      <c r="J51" t="str">
        <f t="shared" si="6"/>
        <v>B</v>
      </c>
      <c r="K51" t="str">
        <f t="shared" si="7"/>
        <v>Pass</v>
      </c>
    </row>
  </sheetData>
  <mergeCells count="1">
    <mergeCell ref="N8:O8"/>
  </mergeCells>
  <conditionalFormatting sqref="K1:K1048576">
    <cfRule type="containsText" dxfId="1" priority="1" operator="containsText" text="Fail">
      <formula>NOT(ISERROR(SEARCH("Fail",K1)))</formula>
    </cfRule>
    <cfRule type="containsText" dxfId="0" priority="2" operator="containsText" text="Pass">
      <formula>NOT(ISERROR(SEARCH("Pass",K1)))</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selection activeCell="P22" sqref="P22"/>
    </sheetView>
  </sheetViews>
  <sheetFormatPr defaultRowHeight="15" x14ac:dyDescent="0.25"/>
  <cols>
    <col min="1" max="1" width="13.140625" bestFit="1" customWidth="1"/>
    <col min="2" max="2" width="12" bestFit="1" customWidth="1"/>
    <col min="3" max="3" width="15" bestFit="1" customWidth="1"/>
    <col min="19" max="19" width="9" customWidth="1"/>
  </cols>
  <sheetData>
    <row r="1" spans="1:11" x14ac:dyDescent="0.25">
      <c r="A1" s="13" t="s">
        <v>61</v>
      </c>
      <c r="B1" s="13"/>
      <c r="D1" s="13" t="s">
        <v>62</v>
      </c>
      <c r="E1" s="13"/>
      <c r="G1" s="13" t="s">
        <v>63</v>
      </c>
      <c r="H1" s="13"/>
    </row>
    <row r="2" spans="1:11" x14ac:dyDescent="0.25">
      <c r="A2" s="13"/>
      <c r="B2" s="13"/>
      <c r="D2" s="13"/>
      <c r="E2" s="13"/>
      <c r="G2" s="13"/>
      <c r="H2" s="13"/>
    </row>
    <row r="3" spans="1:11" x14ac:dyDescent="0.25">
      <c r="A3" s="13">
        <f>MAX('Student Marks'!I2:I51)</f>
        <v>92.4</v>
      </c>
      <c r="B3" s="13"/>
      <c r="D3" s="13">
        <f>MIN('Student Marks'!I2:I51)</f>
        <v>68</v>
      </c>
      <c r="E3" s="13"/>
      <c r="G3" s="13" t="str">
        <f>INDEX('Student Marks'!B2:B51,MATCH(MAX('Student Marks'!I2:I51),'Student Marks'!I2:I51,0))</f>
        <v>Student 7</v>
      </c>
      <c r="H3" s="13"/>
    </row>
    <row r="4" spans="1:11" x14ac:dyDescent="0.25">
      <c r="F4" s="8"/>
      <c r="G4" s="8"/>
      <c r="H4" s="8"/>
      <c r="I4" s="8"/>
      <c r="J4" s="8"/>
      <c r="K4" s="8"/>
    </row>
    <row r="5" spans="1:11" x14ac:dyDescent="0.25">
      <c r="F5" s="8"/>
      <c r="G5" s="8"/>
      <c r="H5" s="8"/>
      <c r="I5" s="8"/>
      <c r="J5" s="8"/>
      <c r="K5" s="8"/>
    </row>
    <row r="6" spans="1:11" x14ac:dyDescent="0.25">
      <c r="F6" s="8"/>
      <c r="G6" s="8"/>
      <c r="H6" s="8"/>
      <c r="I6" s="8"/>
      <c r="J6" s="8"/>
      <c r="K6" s="8"/>
    </row>
    <row r="7" spans="1:11" x14ac:dyDescent="0.25">
      <c r="F7" s="8"/>
      <c r="G7" s="8"/>
      <c r="H7" s="8"/>
      <c r="I7" s="8"/>
      <c r="J7" s="8"/>
      <c r="K7" s="8"/>
    </row>
    <row r="8" spans="1:11" x14ac:dyDescent="0.25">
      <c r="F8" s="8"/>
      <c r="G8" s="8"/>
      <c r="H8" s="8"/>
      <c r="I8" s="8"/>
      <c r="J8" s="8"/>
      <c r="K8" s="8"/>
    </row>
    <row r="9" spans="1:11" x14ac:dyDescent="0.25">
      <c r="A9" s="3" t="s">
        <v>64</v>
      </c>
      <c r="B9" t="s">
        <v>66</v>
      </c>
      <c r="F9" s="8"/>
      <c r="G9" s="8"/>
      <c r="H9" s="8"/>
      <c r="I9" s="8"/>
      <c r="J9" s="8"/>
      <c r="K9" s="8"/>
    </row>
    <row r="10" spans="1:11" x14ac:dyDescent="0.25">
      <c r="A10" s="4" t="s">
        <v>16</v>
      </c>
      <c r="B10" s="5">
        <v>462</v>
      </c>
      <c r="F10" s="8"/>
      <c r="G10" s="8"/>
      <c r="H10" s="8"/>
      <c r="I10" s="8"/>
      <c r="J10" s="8"/>
      <c r="K10" s="8"/>
    </row>
    <row r="11" spans="1:11" x14ac:dyDescent="0.25">
      <c r="A11" s="4" t="s">
        <v>24</v>
      </c>
      <c r="B11" s="5">
        <v>439</v>
      </c>
      <c r="F11" s="8"/>
      <c r="G11" s="8"/>
      <c r="H11" s="8"/>
      <c r="I11" s="8"/>
      <c r="J11" s="8"/>
      <c r="K11" s="8"/>
    </row>
    <row r="12" spans="1:11" x14ac:dyDescent="0.25">
      <c r="A12" s="4" t="s">
        <v>39</v>
      </c>
      <c r="B12" s="5">
        <v>435</v>
      </c>
      <c r="F12" s="8"/>
      <c r="G12" s="8"/>
      <c r="H12" s="8"/>
      <c r="I12" s="8"/>
      <c r="J12" s="8"/>
      <c r="K12" s="8"/>
    </row>
    <row r="13" spans="1:11" x14ac:dyDescent="0.25">
      <c r="A13" s="4" t="s">
        <v>51</v>
      </c>
      <c r="B13" s="5">
        <v>434</v>
      </c>
      <c r="F13" s="8"/>
      <c r="G13" s="8"/>
      <c r="H13" s="8"/>
      <c r="I13" s="8"/>
      <c r="J13" s="8"/>
      <c r="K13" s="8"/>
    </row>
    <row r="14" spans="1:11" x14ac:dyDescent="0.25">
      <c r="A14" s="4" t="s">
        <v>30</v>
      </c>
      <c r="B14" s="5">
        <v>431</v>
      </c>
      <c r="F14" s="8"/>
      <c r="G14" s="8"/>
      <c r="H14" s="8"/>
      <c r="I14" s="8"/>
      <c r="J14" s="8"/>
      <c r="K14" s="8"/>
    </row>
    <row r="15" spans="1:11" x14ac:dyDescent="0.25">
      <c r="A15" s="4" t="s">
        <v>53</v>
      </c>
      <c r="B15" s="5">
        <v>427</v>
      </c>
      <c r="F15" s="8"/>
      <c r="G15" s="8"/>
      <c r="H15" s="8"/>
      <c r="I15" s="8"/>
      <c r="J15" s="8"/>
      <c r="K15" s="8"/>
    </row>
    <row r="16" spans="1:11" x14ac:dyDescent="0.25">
      <c r="A16" s="4" t="s">
        <v>57</v>
      </c>
      <c r="B16" s="5">
        <v>427</v>
      </c>
      <c r="F16" s="8"/>
      <c r="G16" s="8"/>
      <c r="H16" s="8"/>
      <c r="I16" s="8"/>
      <c r="J16" s="8"/>
      <c r="K16" s="8"/>
    </row>
    <row r="17" spans="1:12" x14ac:dyDescent="0.25">
      <c r="A17" s="4" t="s">
        <v>26</v>
      </c>
      <c r="B17" s="5">
        <v>426</v>
      </c>
      <c r="F17" s="8"/>
      <c r="G17" s="8"/>
      <c r="H17" s="8"/>
      <c r="I17" s="8"/>
      <c r="J17" s="8"/>
      <c r="K17" s="8"/>
    </row>
    <row r="18" spans="1:12" x14ac:dyDescent="0.25">
      <c r="A18" s="4" t="s">
        <v>58</v>
      </c>
      <c r="B18" s="5">
        <v>425</v>
      </c>
      <c r="F18" s="8"/>
      <c r="G18" s="8"/>
      <c r="H18" s="8"/>
      <c r="I18" s="8"/>
      <c r="J18" s="8"/>
      <c r="K18" s="8"/>
    </row>
    <row r="19" spans="1:12" x14ac:dyDescent="0.25">
      <c r="A19" s="4" t="s">
        <v>42</v>
      </c>
      <c r="B19" s="5">
        <v>424</v>
      </c>
      <c r="F19" s="8"/>
      <c r="G19" s="8"/>
      <c r="H19" s="8"/>
      <c r="I19" s="8"/>
      <c r="J19" s="8"/>
      <c r="K19" s="8"/>
    </row>
    <row r="20" spans="1:12" x14ac:dyDescent="0.25">
      <c r="A20" s="4" t="s">
        <v>65</v>
      </c>
      <c r="B20" s="5">
        <v>4330</v>
      </c>
      <c r="F20" s="8"/>
      <c r="G20" s="8"/>
      <c r="H20" s="8"/>
      <c r="I20" s="8"/>
      <c r="J20" s="8"/>
      <c r="K20" s="8"/>
    </row>
    <row r="21" spans="1:12" x14ac:dyDescent="0.25">
      <c r="F21" s="8"/>
      <c r="G21" s="8"/>
      <c r="H21" s="8"/>
      <c r="I21" s="8"/>
      <c r="J21" s="8"/>
      <c r="K21" s="8"/>
    </row>
    <row r="22" spans="1:12" x14ac:dyDescent="0.25">
      <c r="F22" s="8"/>
      <c r="G22" s="8"/>
      <c r="H22" s="12" t="s">
        <v>81</v>
      </c>
      <c r="I22" s="12"/>
      <c r="J22" s="12"/>
      <c r="K22" s="12"/>
      <c r="L22" s="9"/>
    </row>
    <row r="23" spans="1:12" x14ac:dyDescent="0.25">
      <c r="H23" s="11" t="s">
        <v>82</v>
      </c>
      <c r="I23" s="11"/>
      <c r="J23" s="11"/>
      <c r="K23" s="11"/>
      <c r="L23" s="11"/>
    </row>
    <row r="24" spans="1:12" x14ac:dyDescent="0.25">
      <c r="H24" s="11" t="s">
        <v>83</v>
      </c>
      <c r="I24" s="11"/>
      <c r="J24" s="11"/>
      <c r="K24" s="11"/>
      <c r="L24" s="11"/>
    </row>
    <row r="25" spans="1:12" x14ac:dyDescent="0.25">
      <c r="H25" s="11" t="s">
        <v>84</v>
      </c>
      <c r="I25" s="11"/>
      <c r="J25" s="11"/>
      <c r="K25" s="11"/>
      <c r="L25" s="11"/>
    </row>
  </sheetData>
  <mergeCells count="10">
    <mergeCell ref="H23:L23"/>
    <mergeCell ref="H24:L24"/>
    <mergeCell ref="H25:L25"/>
    <mergeCell ref="H22:K22"/>
    <mergeCell ref="A1:B2"/>
    <mergeCell ref="A3:B3"/>
    <mergeCell ref="D1:E2"/>
    <mergeCell ref="D3:E3"/>
    <mergeCell ref="G1:H2"/>
    <mergeCell ref="G3:H3"/>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5"/>
  <sheetViews>
    <sheetView workbookViewId="0">
      <selection activeCell="D7" sqref="D7"/>
    </sheetView>
  </sheetViews>
  <sheetFormatPr defaultRowHeight="15" x14ac:dyDescent="0.25"/>
  <cols>
    <col min="1" max="1" width="13.140625" bestFit="1" customWidth="1"/>
    <col min="2" max="2" width="14" bestFit="1" customWidth="1"/>
    <col min="3" max="3" width="13.28515625" bestFit="1" customWidth="1"/>
    <col min="4" max="4" width="14.42578125" bestFit="1" customWidth="1"/>
    <col min="5" max="5" width="12.7109375" bestFit="1" customWidth="1"/>
    <col min="6" max="6" width="16.5703125" bestFit="1" customWidth="1"/>
    <col min="7" max="7" width="12" bestFit="1" customWidth="1"/>
  </cols>
  <sheetData>
    <row r="2" spans="1:6" x14ac:dyDescent="0.25">
      <c r="A2" s="3" t="s">
        <v>64</v>
      </c>
      <c r="B2" t="s">
        <v>75</v>
      </c>
      <c r="C2" t="s">
        <v>76</v>
      </c>
      <c r="D2" t="s">
        <v>77</v>
      </c>
      <c r="E2" t="s">
        <v>78</v>
      </c>
      <c r="F2" t="s">
        <v>79</v>
      </c>
    </row>
    <row r="3" spans="1:6" x14ac:dyDescent="0.25">
      <c r="A3" s="4" t="s">
        <v>51</v>
      </c>
      <c r="B3" s="5">
        <v>86</v>
      </c>
      <c r="C3" s="5">
        <v>90</v>
      </c>
      <c r="D3" s="5">
        <v>96</v>
      </c>
      <c r="E3" s="5">
        <v>90</v>
      </c>
      <c r="F3" s="5">
        <v>72</v>
      </c>
    </row>
    <row r="4" spans="1:6" x14ac:dyDescent="0.25">
      <c r="A4" s="7" t="s">
        <v>80</v>
      </c>
      <c r="B4" s="5">
        <v>86</v>
      </c>
      <c r="C4" s="5">
        <v>90</v>
      </c>
      <c r="D4" s="5">
        <v>96</v>
      </c>
      <c r="E4" s="5">
        <v>90</v>
      </c>
      <c r="F4" s="5">
        <v>72</v>
      </c>
    </row>
    <row r="5" spans="1:6" x14ac:dyDescent="0.25">
      <c r="A5" s="4" t="s">
        <v>65</v>
      </c>
      <c r="B5" s="5">
        <v>86</v>
      </c>
      <c r="C5" s="5">
        <v>90</v>
      </c>
      <c r="D5" s="5">
        <v>96</v>
      </c>
      <c r="E5" s="5">
        <v>90</v>
      </c>
      <c r="F5" s="5">
        <v>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Marks</vt:lpstr>
      <vt:lpstr>Dashboard</vt:lpstr>
      <vt:lpstr>Pivot 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Laptops</cp:lastModifiedBy>
  <dcterms:created xsi:type="dcterms:W3CDTF">2026-05-09T07:31:57Z</dcterms:created>
  <dcterms:modified xsi:type="dcterms:W3CDTF">2026-05-10T17:17:28Z</dcterms:modified>
</cp:coreProperties>
</file>